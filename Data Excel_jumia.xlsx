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brian\OneDrive\Desktop\Assignment\"/>
    </mc:Choice>
  </mc:AlternateContent>
  <xr:revisionPtr revIDLastSave="0" documentId="8_{027C48DE-332E-4AE8-B7EF-17A45546A439}" xr6:coauthVersionLast="47" xr6:coauthVersionMax="47" xr10:uidLastSave="{00000000-0000-0000-0000-000000000000}"/>
  <bookViews>
    <workbookView xWindow="-110" yWindow="-110" windowWidth="19420" windowHeight="10300" tabRatio="812" firstSheet="1" activeTab="4" xr2:uid="{E86E8571-AFD9-40DE-B568-93B8FCCDD289}"/>
  </bookViews>
  <sheets>
    <sheet name="Excel_jumia" sheetId="1" r:id="rId1"/>
    <sheet name="Data Excel_jumia" sheetId="2" r:id="rId2"/>
    <sheet name="Pivot Table" sheetId="3" r:id="rId3"/>
    <sheet name="Dashboard 1" sheetId="6" r:id="rId4"/>
    <sheet name="Dasboard 2" sheetId="5" r:id="rId5"/>
    <sheet name="Product Breakdown Disc Category" sheetId="7" r:id="rId6"/>
    <sheet name="Product Breakdown Rate Category" sheetId="8" r:id="rId7"/>
  </sheets>
  <definedNames>
    <definedName name="Slicer_Rating_Category">#N/A</definedName>
    <definedName name="Slicer_Rating_Category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2" l="1"/>
  <c r="K3" i="2"/>
  <c r="K6" i="2" l="1"/>
  <c r="L6" i="2" s="1"/>
  <c r="F44" i="2" a="1"/>
  <c r="F44" i="2" s="1"/>
  <c r="F9" i="2" l="1" a="1"/>
  <c r="F9" i="2" s="1"/>
  <c r="F52" i="2" a="1"/>
  <c r="F52" i="2" s="1"/>
  <c r="F29" i="2" a="1"/>
  <c r="F29" i="2" s="1"/>
  <c r="F16" i="2" a="1"/>
  <c r="F16" i="2" s="1"/>
  <c r="F46" i="2" a="1"/>
  <c r="F46" i="2" s="1"/>
  <c r="F58" i="2" a="1"/>
  <c r="F58" i="2" s="1"/>
  <c r="F10" i="2" a="1"/>
  <c r="F10" i="2" s="1"/>
  <c r="F17" i="2" a="1"/>
  <c r="F17" i="2" s="1"/>
  <c r="F18" i="2" a="1"/>
  <c r="F18" i="2" s="1"/>
  <c r="F37" i="2" a="1"/>
  <c r="F37" i="2" s="1"/>
  <c r="F55" i="2" a="1"/>
  <c r="F55" i="2" s="1"/>
  <c r="F38" i="2" a="1"/>
  <c r="F38" i="2" s="1"/>
  <c r="F23" i="2" a="1"/>
  <c r="F23" i="2" s="1"/>
  <c r="F33" i="2" a="1"/>
  <c r="F33" i="2" s="1"/>
  <c r="F11" i="2" a="1"/>
  <c r="F11" i="2" s="1"/>
  <c r="F12" i="2" a="1"/>
  <c r="F12" i="2" s="1"/>
  <c r="F15" i="2" a="1"/>
  <c r="F15" i="2" s="1"/>
  <c r="F19" i="2" a="1"/>
  <c r="F19" i="2" s="1"/>
  <c r="F56" i="2" a="1"/>
  <c r="F56" i="2" s="1"/>
  <c r="F41" i="2" a="1"/>
  <c r="F41" i="2" s="1"/>
  <c r="F24" i="2" a="1"/>
  <c r="F24" i="2" s="1"/>
  <c r="F45" i="2" a="1"/>
  <c r="F45" i="2" s="1"/>
  <c r="F30" i="2" a="1"/>
  <c r="F30" i="2" s="1"/>
  <c r="F57" i="2" a="1"/>
  <c r="F57" i="2" s="1"/>
  <c r="F39" i="2" a="1"/>
  <c r="F39" i="2" s="1"/>
  <c r="F42" i="2" a="1"/>
  <c r="F42" i="2" s="1"/>
  <c r="F50" i="2" a="1"/>
  <c r="F50" i="2" s="1"/>
  <c r="F34" i="2" a="1"/>
  <c r="F34" i="2" s="1"/>
  <c r="F40" i="2" a="1"/>
  <c r="F40" i="2" s="1"/>
  <c r="F35" i="2" a="1"/>
  <c r="F35" i="2" s="1"/>
  <c r="F51" i="2" a="1"/>
  <c r="F51" i="2" s="1"/>
  <c r="F53" i="2" a="1"/>
  <c r="F53" i="2" s="1"/>
  <c r="F3" i="2" a="1"/>
  <c r="F3" i="2" s="1"/>
  <c r="F13" i="2" a="1"/>
  <c r="F13" i="2" s="1"/>
  <c r="F54" i="2" a="1"/>
  <c r="F54" i="2" s="1"/>
  <c r="F14" i="2" a="1"/>
  <c r="F14" i="2" s="1"/>
  <c r="F25" i="2" a="1"/>
  <c r="F25" i="2" s="1"/>
  <c r="F36" i="2" a="1"/>
  <c r="F36" i="2" s="1"/>
  <c r="F43" i="2" a="1"/>
  <c r="F43" i="2" s="1"/>
  <c r="F59" i="2" a="1"/>
  <c r="F59" i="2" s="1"/>
  <c r="F47" i="2" a="1"/>
  <c r="F47" i="2" s="1"/>
  <c r="F48" i="2" a="1"/>
  <c r="F48" i="2" s="1"/>
  <c r="F26" i="2" a="1"/>
  <c r="F26" i="2" s="1"/>
  <c r="F31" i="2" a="1"/>
  <c r="F31" i="2" s="1"/>
  <c r="F20" i="2" a="1"/>
  <c r="F20" i="2" s="1"/>
  <c r="F49" i="2" a="1"/>
  <c r="F49" i="2" s="1"/>
  <c r="F21" i="2" a="1"/>
  <c r="F21" i="2" s="1"/>
  <c r="F27" i="2" a="1"/>
  <c r="F27" i="2" s="1"/>
  <c r="F22" i="2" a="1"/>
  <c r="F22" i="2" s="1"/>
  <c r="F28" i="2" a="1"/>
  <c r="F28" i="2" s="1"/>
  <c r="F32" i="2" a="1"/>
  <c r="F32" i="2" s="1"/>
  <c r="F4" i="2" a="1"/>
  <c r="F4" i="2" s="1"/>
  <c r="F5" i="2" a="1"/>
  <c r="F5" i="2" s="1"/>
  <c r="F6" i="2" a="1"/>
  <c r="F6" i="2" s="1"/>
  <c r="F7" i="2" a="1"/>
  <c r="F7" i="2" s="1"/>
  <c r="F8" i="2" a="1"/>
  <c r="F8" i="2" s="1"/>
  <c r="I9" i="2" a="1"/>
  <c r="I9" i="2" s="1"/>
  <c r="I44" i="2" a="1"/>
  <c r="I44" i="2" s="1"/>
  <c r="I52" i="2" a="1"/>
  <c r="I52" i="2" s="1"/>
  <c r="I29" i="2" a="1"/>
  <c r="I29" i="2" s="1"/>
  <c r="I16" i="2" a="1"/>
  <c r="I16" i="2" s="1"/>
  <c r="I46" i="2" a="1"/>
  <c r="I46" i="2" s="1"/>
  <c r="I58" i="2" a="1"/>
  <c r="I58" i="2" s="1"/>
  <c r="I10" i="2" a="1"/>
  <c r="I10" i="2" s="1"/>
  <c r="I17" i="2" a="1"/>
  <c r="I17" i="2" s="1"/>
  <c r="I18" i="2" a="1"/>
  <c r="I18" i="2" s="1"/>
  <c r="I37" i="2" a="1"/>
  <c r="I37" i="2" s="1"/>
  <c r="I55" i="2" a="1"/>
  <c r="I55" i="2" s="1"/>
  <c r="I38" i="2" a="1"/>
  <c r="I38" i="2" s="1"/>
  <c r="I23" i="2" a="1"/>
  <c r="I23" i="2" s="1"/>
  <c r="I33" i="2" a="1"/>
  <c r="I33" i="2" s="1"/>
  <c r="I11" i="2" a="1"/>
  <c r="I11" i="2" s="1"/>
  <c r="I12" i="2" a="1"/>
  <c r="I12" i="2" s="1"/>
  <c r="I15" i="2" a="1"/>
  <c r="I15" i="2" s="1"/>
  <c r="I19" i="2" a="1"/>
  <c r="I19" i="2" s="1"/>
  <c r="I56" i="2" a="1"/>
  <c r="I56" i="2" s="1"/>
  <c r="I41" i="2" a="1"/>
  <c r="I41" i="2" s="1"/>
  <c r="I24" i="2" a="1"/>
  <c r="I24" i="2" s="1"/>
  <c r="I45" i="2" a="1"/>
  <c r="I45" i="2" s="1"/>
  <c r="I30" i="2" a="1"/>
  <c r="I30" i="2" s="1"/>
  <c r="I57" i="2" a="1"/>
  <c r="I57" i="2" s="1"/>
  <c r="I39" i="2" a="1"/>
  <c r="I39" i="2" s="1"/>
  <c r="I42" i="2" a="1"/>
  <c r="I42" i="2" s="1"/>
  <c r="I50" i="2" a="1"/>
  <c r="I50" i="2" s="1"/>
  <c r="I34" i="2" a="1"/>
  <c r="I34" i="2" s="1"/>
  <c r="I40" i="2" a="1"/>
  <c r="I40" i="2" s="1"/>
  <c r="I35" i="2" a="1"/>
  <c r="I35" i="2" s="1"/>
  <c r="I51" i="2" a="1"/>
  <c r="I51" i="2" s="1"/>
  <c r="I53" i="2" a="1"/>
  <c r="I53" i="2" s="1"/>
  <c r="I3" i="2" a="1"/>
  <c r="I3" i="2" s="1"/>
  <c r="I13" i="2" a="1"/>
  <c r="I13" i="2" s="1"/>
  <c r="I54" i="2" a="1"/>
  <c r="I54" i="2" s="1"/>
  <c r="I14" i="2" a="1"/>
  <c r="I14" i="2" s="1"/>
  <c r="I25" i="2" a="1"/>
  <c r="I25" i="2" s="1"/>
  <c r="I36" i="2" a="1"/>
  <c r="I36" i="2" s="1"/>
  <c r="I43" i="2" a="1"/>
  <c r="I43" i="2" s="1"/>
  <c r="I59" i="2" a="1"/>
  <c r="I59" i="2" s="1"/>
  <c r="I47" i="2" a="1"/>
  <c r="I47" i="2" s="1"/>
  <c r="I48" i="2" a="1"/>
  <c r="I48" i="2" s="1"/>
  <c r="I26" i="2" a="1"/>
  <c r="I26" i="2" s="1"/>
  <c r="I31" i="2" a="1"/>
  <c r="I31" i="2" s="1"/>
  <c r="I20" i="2" a="1"/>
  <c r="I20" i="2" s="1"/>
  <c r="I49" i="2" a="1"/>
  <c r="I49" i="2" s="1"/>
  <c r="I21" i="2" a="1"/>
  <c r="I21" i="2" s="1"/>
  <c r="I27" i="2" a="1"/>
  <c r="I27" i="2" s="1"/>
  <c r="I22" i="2" a="1"/>
  <c r="I22" i="2" s="1"/>
  <c r="I28" i="2" a="1"/>
  <c r="I28" i="2" s="1"/>
  <c r="I32" i="2" a="1"/>
  <c r="I32" i="2" s="1"/>
  <c r="I4" i="2" a="1"/>
  <c r="I4" i="2" s="1"/>
  <c r="I5" i="2" a="1"/>
  <c r="I5" i="2" s="1"/>
  <c r="I6" i="2" a="1"/>
  <c r="I6" i="2" s="1"/>
  <c r="I7" i="2" a="1"/>
  <c r="I7" i="2" s="1"/>
  <c r="I8" i="2" a="1"/>
  <c r="I8" i="2" s="1"/>
  <c r="D9" i="2"/>
  <c r="D44" i="2"/>
  <c r="D52" i="2"/>
  <c r="D29" i="2"/>
  <c r="D16" i="2"/>
  <c r="D46" i="2"/>
  <c r="D58" i="2"/>
  <c r="D10" i="2"/>
  <c r="D17" i="2"/>
  <c r="D18" i="2"/>
  <c r="D37" i="2"/>
  <c r="D55" i="2"/>
  <c r="D38" i="2"/>
  <c r="D23" i="2"/>
  <c r="D33" i="2"/>
  <c r="D11" i="2"/>
  <c r="D12" i="2"/>
  <c r="D15" i="2"/>
  <c r="D19" i="2"/>
  <c r="D56" i="2"/>
  <c r="D41" i="2"/>
  <c r="D24" i="2"/>
  <c r="D45" i="2"/>
  <c r="D30" i="2"/>
  <c r="D57" i="2"/>
  <c r="D39" i="2"/>
  <c r="D42" i="2"/>
  <c r="D50" i="2"/>
  <c r="D34" i="2"/>
  <c r="D40" i="2"/>
  <c r="D35" i="2"/>
  <c r="D51" i="2"/>
  <c r="D53" i="2"/>
  <c r="D3" i="2"/>
  <c r="D13" i="2"/>
  <c r="D54" i="2"/>
  <c r="D14" i="2"/>
  <c r="D25" i="2"/>
  <c r="D36" i="2"/>
  <c r="D43" i="2"/>
  <c r="D59" i="2"/>
  <c r="D47" i="2"/>
  <c r="D48" i="2"/>
  <c r="D26" i="2"/>
  <c r="D31" i="2"/>
  <c r="D20" i="2"/>
  <c r="D49" i="2"/>
  <c r="D21" i="2"/>
  <c r="D27" i="2"/>
  <c r="D22" i="2"/>
  <c r="D28" i="2"/>
  <c r="D32" i="2"/>
  <c r="D4" i="2"/>
  <c r="D5" i="2"/>
  <c r="D6" i="2"/>
  <c r="D7" i="2"/>
  <c r="D8" i="2"/>
  <c r="F4" i="3"/>
  <c r="C6" i="3"/>
  <c r="F7" i="3"/>
  <c r="C12" i="3"/>
  <c r="C9" i="3"/>
  <c r="C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<sst xmlns="http://schemas.openxmlformats.org/spreadsheetml/2006/main" count="666" uniqueCount="353">
  <si>
    <t>Product</t>
  </si>
  <si>
    <t>Current price</t>
  </si>
  <si>
    <t>old price</t>
  </si>
  <si>
    <t>Discount</t>
  </si>
  <si>
    <t>Review</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</si>
  <si>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</si>
  <si>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</si>
  <si>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</si>
  <si>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</si>
  <si>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</si>
  <si>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</si>
  <si>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</si>
  <si>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</si>
  <si>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</si>
  <si>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</si>
  <si>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</si>
  <si>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</si>
  <si>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</si>
  <si>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</si>
  <si>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</si>
  <si>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</si>
  <si>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</si>
  <si>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</si>
  <si>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</si>
  <si>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</si>
  <si>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</si>
  <si>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</si>
  <si>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</si>
  <si>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</si>
  <si>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</si>
  <si>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</si>
  <si>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</si>
  <si>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</si>
  <si>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</si>
  <si>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</si>
  <si>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</si>
  <si>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</si>
  <si>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</si>
  <si>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</si>
  <si>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</si>
  <si>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</si>
  <si>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</si>
  <si>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</si>
  <si>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</si>
  <si>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</si>
  <si>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</si>
  <si>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</si>
  <si>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</si>
  <si>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</si>
  <si>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</si>
  <si>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</si>
  <si>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</si>
  <si>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</si>
  <si>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</si>
  <si>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</si>
  <si>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</si>
  <si>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</si>
  <si>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</si>
  <si>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</si>
  <si>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</si>
  <si>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</si>
  <si>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</si>
  <si>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</si>
  <si>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</si>
  <si>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</si>
  <si>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</si>
  <si>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</si>
  <si>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</si>
  <si>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</si>
  <si>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</si>
  <si>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</si>
  <si>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</si>
  <si>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</si>
  <si>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</si>
  <si>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</si>
  <si>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</si>
  <si>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</si>
  <si>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</si>
  <si>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</si>
  <si>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</si>
  <si>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</si>
  <si>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</si>
  <si>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</si>
  <si>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</si>
  <si>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</si>
  <si>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</si>
  <si>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</si>
  <si>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</si>
  <si>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</si>
  <si>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</si>
  <si>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</si>
  <si>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</si>
  <si>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</si>
  <si>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</si>
  <si>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</si>
  <si>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</si>
  <si>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</si>
  <si>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</si>
  <si>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</si>
  <si>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</si>
  <si>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</si>
  <si>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</si>
  <si>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</si>
  <si>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</si>
  <si>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</si>
  <si>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</si>
  <si>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</si>
  <si>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</si>
  <si>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</si>
  <si>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</si>
  <si>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</si>
  <si>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</si>
  <si>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</si>
  <si>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</si>
  <si>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</si>
  <si>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</si>
  <si>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</si>
  <si>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</si>
  <si>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</si>
  <si>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</si>
  <si>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</si>
  <si>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</si>
  <si>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</si>
  <si>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</si>
  <si>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</si>
  <si>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</si>
  <si>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</si>
  <si>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</si>
  <si>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</si>
  <si>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</si>
  <si>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</si>
  <si>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</si>
  <si>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</si>
  <si>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</si>
  <si>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</si>
  <si>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</si>
  <si>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</si>
  <si>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</si>
  <si>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</si>
  <si>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</si>
  <si>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</si>
  <si>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</si>
  <si>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</si>
  <si>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</si>
  <si>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</si>
  <si>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</si>
  <si>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</si>
  <si>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</si>
  <si>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</si>
  <si>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</si>
  <si>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</si>
  <si>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</si>
  <si>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</si>
  <si>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</si>
  <si>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</si>
  <si>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</si>
  <si>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</si>
  <si>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</si>
  <si>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</si>
  <si>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</si>
  <si>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</si>
  <si>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</si>
  <si>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</si>
  <si>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</si>
  <si>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</si>
  <si>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</si>
  <si>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</si>
  <si>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</si>
  <si>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</si>
  <si>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</si>
  <si>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</si>
  <si>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</si>
  <si>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</si>
  <si>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</si>
  <si>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</si>
  <si>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</si>
  <si>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</si>
  <si>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</si>
  <si>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</si>
  <si>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</si>
  <si>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</si>
  <si>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</si>
  <si>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</si>
  <si>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</si>
  <si>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</si>
  <si>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</si>
  <si>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</si>
  <si>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</si>
  <si>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</si>
  <si>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</si>
  <si>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</si>
  <si>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</si>
  <si>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</si>
  <si>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</si>
  <si>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</si>
  <si>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</si>
  <si>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</si>
  <si>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</si>
  <si>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</si>
  <si>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</si>
  <si>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</si>
  <si>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</si>
  <si>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</si>
  <si>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</si>
  <si>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</si>
  <si>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</si>
  <si>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</si>
  <si>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</si>
  <si>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</si>
  <si>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</si>
  <si>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</si>
  <si>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</si>
  <si>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</si>
  <si>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</si>
  <si>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</si>
  <si>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</si>
  <si>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</si>
  <si>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</si>
  <si>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</si>
  <si>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</si>
  <si>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</si>
  <si>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</si>
  <si>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</si>
  <si>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</si>
  <si>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</si>
  <si>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</si>
  <si>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</si>
  <si>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</si>
  <si>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</si>
  <si>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</si>
  <si>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</si>
  <si>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</si>
  <si>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</si>
  <si>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</si>
  <si>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</si>
  <si>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</si>
  <si>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</si>
  <si>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</si>
  <si>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</si>
  <si>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</si>
  <si>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</si>
  <si>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</si>
  <si>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</si>
  <si>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</si>
  <si>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</si>
  <si>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</si>
  <si>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</si>
  <si>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</si>
  <si>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</si>
  <si>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</si>
  <si>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</si>
  <si>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</si>
  <si>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</si>
  <si>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</si>
  <si>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</si>
  <si>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</si>
  <si>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</si>
  <si>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</si>
  <si>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</si>
  <si>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</si>
  <si>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</si>
  <si>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</si>
  <si>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</si>
  <si>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</si>
  <si>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</si>
  <si>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</si>
  <si>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</si>
  <si>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</si>
  <si>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</si>
  <si>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</si>
  <si>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</si>
  <si>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</si>
  <si>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</si>
  <si>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</si>
  <si>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</si>
  <si>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</si>
  <si>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</si>
  <si>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</si>
  <si>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</si>
  <si>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</si>
  <si>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</si>
  <si>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</si>
  <si>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</si>
  <si>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</si>
  <si>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</si>
  <si>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</si>
  <si>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</si>
  <si>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</si>
  <si>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</si>
  <si>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</si>
  <si>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</si>
  <si>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</si>
  <si>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</si>
  <si>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</si>
  <si>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</si>
  <si>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</si>
  <si>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</si>
  <si>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</si>
  <si>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</si>
  <si>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</si>
  <si>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</si>
  <si>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</si>
  <si>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</si>
  <si>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</si>
  <si>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</si>
  <si>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</si>
  <si>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</si>
  <si>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</si>
  <si>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</si>
  <si>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</si>
  <si>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</si>
  <si>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</si>
  <si>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</si>
  <si>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</si>
  <si>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</si>
  <si>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</si>
  <si>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</si>
  <si>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</si>
  <si>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</si>
  <si>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</si>
  <si>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</si>
  <si>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</si>
  <si>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 xml:space="preserve"> </t>
  </si>
  <si>
    <t>Rating</t>
  </si>
  <si>
    <t>Discount Amount(Ksh)</t>
  </si>
  <si>
    <t>Rating Category</t>
  </si>
  <si>
    <t>Discount Category</t>
  </si>
  <si>
    <t>Average of Current price</t>
  </si>
  <si>
    <t>Discount %</t>
  </si>
  <si>
    <t>Sum of Discount %</t>
  </si>
  <si>
    <t>Average of Discount %</t>
  </si>
  <si>
    <t>Average of old price</t>
  </si>
  <si>
    <t>Row Labels</t>
  </si>
  <si>
    <t>Grand Total</t>
  </si>
  <si>
    <t>Average of Discount Amount(Ksh)</t>
  </si>
  <si>
    <t>Sum of Rating</t>
  </si>
  <si>
    <t>Average of Rating</t>
  </si>
  <si>
    <t>Sum of Current price</t>
  </si>
  <si>
    <t>Average</t>
  </si>
  <si>
    <t>Excellent</t>
  </si>
  <si>
    <t>Poor</t>
  </si>
  <si>
    <t>High Discount</t>
  </si>
  <si>
    <t>Low Discount</t>
  </si>
  <si>
    <t>Medium</t>
  </si>
  <si>
    <t>Sum of Discount Amount(Ksh)</t>
  </si>
  <si>
    <t>Sum of Review</t>
  </si>
  <si>
    <t>Count of Review</t>
  </si>
  <si>
    <t>Count of Product</t>
  </si>
  <si>
    <t>Column Labels</t>
  </si>
  <si>
    <t>Sum of old price</t>
  </si>
  <si>
    <t>Most Expensive product</t>
  </si>
  <si>
    <t>Price</t>
  </si>
  <si>
    <t>Least Expensive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</si>
</sst>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0" fontId="0" fillId="0" borderId="0" xfId="0" applyAlignment="1">
      <alignment horizontal="left"/>
    </xf>
    <xf numFmtId="3" fontId="0" fillId="0" borderId="0" xfId="0" applyNumberFormat="1" applyAlignment="1">
      <alignment horizontal="left"/>
    </xf>
    <xf numFmtId="164" fontId="0" fillId="0" borderId="0" xfId="0" applyNumberFormat="1"/>
    <xf numFmtId="1" fontId="0" fillId="0" borderId="0" xfId="0" applyNumberFormat="1"/>
    <xf numFmtId="165" fontId="0" fillId="0" borderId="0" xfId="0" applyNumberFormat="1"/>
    <xf numFmtId="0" fontId="0" fillId="0" borderId="0" xfId="0" pivotButton="1"/>
    <xf numFmtId="2" fontId="0" fillId="0" borderId="0" xfId="0" applyNumberFormat="1" applyAlignment="1">
      <alignment horizontal="left"/>
    </xf>
    <xf numFmtId="43" fontId="0" fillId="0" borderId="0" xfId="1" applyFont="1"/>
    <xf numFmtId="165" fontId="0" fillId="0" borderId="0" xfId="1" applyNumberFormat="1" applyFont="1"/>
    <xf numFmtId="0" fontId="0" fillId="0" borderId="0" xfId="0" applyAlignment="1">
      <alignment horizontal="left" wrapText="1"/>
    </xf>
    <xf numFmtId="165" fontId="0" fillId="0" borderId="10" xfId="0" applyNumberFormat="1" applyBorder="1"/>
    <xf numFmtId="0" fontId="0" fillId="0" borderId="10" xfId="0" applyBorder="1" applyAlignment="1">
      <alignment horizontal="left"/>
    </xf>
    <xf numFmtId="0" fontId="16"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0">
    <dxf>
      <fill>
        <patternFill>
          <bgColor rgb="FFFF0000"/>
        </patternFill>
      </fill>
    </dxf>
    <dxf>
      <fill>
        <patternFill>
          <bgColor rgb="FFFFC000"/>
        </patternFill>
      </fill>
    </dxf>
    <dxf>
      <alignment wrapText="1"/>
    </dxf>
    <dxf>
      <alignment wrapText="1"/>
    </dxf>
    <dxf>
      <alignment wrapText="1"/>
    </dxf>
    <dxf>
      <numFmt numFmtId="165" formatCode="_-* #,##0_-;\-* #,##0_-;_-* &quot;-&quot;??_-;_-@_-"/>
    </dxf>
    <dxf>
      <alignment wrapText="1"/>
    </dxf>
    <dxf>
      <alignment wrapText="1"/>
    </dxf>
    <dxf>
      <alignment wrapText="1"/>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165" formatCode="_-* #,##0_-;\-* #,##0_-;_-* &quot;-&quot;??_-;_-@_-"/>
    </dxf>
    <dxf>
      <numFmt numFmtId="165" formatCode="_-* #,##0_-;\-* #,##0_-;_-* &quot;-&quot;??_-;_-@_-"/>
    </dxf>
    <dxf>
      <numFmt numFmtId="165" formatCode="_-* #,##0_-;\-* #,##0_-;_-* &quot;-&quot;??_-;_-@_-"/>
    </dxf>
    <dxf>
      <numFmt numFmtId="0" formatCode="General"/>
    </dxf>
    <dxf>
      <numFmt numFmtId="164" formatCode="0.0"/>
    </dxf>
    <dxf>
      <numFmt numFmtId="13" formatCode="0%"/>
    </dxf>
    <dxf>
      <numFmt numFmtId="13" formatCode="0%"/>
    </dxf>
    <dxf>
      <numFmt numFmtId="3"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Excel_jumia.xlsx]Pivot Table!PivotTable20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Table'!$F$13</c:f>
              <c:strCache>
                <c:ptCount val="1"/>
                <c:pt idx="0">
                  <c:v>Total</c:v>
                </c:pt>
              </c:strCache>
            </c:strRef>
          </c:tx>
          <c:spPr>
            <a:solidFill>
              <a:srgbClr val="002060"/>
            </a:solidFill>
            <a:ln>
              <a:noFill/>
            </a:ln>
            <a:effectLst/>
          </c:spPr>
          <c:invertIfNegative val="0"/>
          <c:cat>
            <c:strRef>
              <c:f>'Pivot Table'!$E$14:$E$23</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'Pivot Table'!$F$14:$F$23</c:f>
              <c:numCache>
                <c:formatCode>_-* #,##0_-;\-* #,##0_-;_-* "-"??_-;_-@_-</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00DD-4703-9C5C-0AAA57A064C1}"/>
            </c:ext>
          </c:extLst>
        </c:ser>
        <c:dLbls>
          <c:showLegendKey val="0"/>
          <c:showVal val="0"/>
          <c:showCatName val="0"/>
          <c:showSerName val="0"/>
          <c:showPercent val="0"/>
          <c:showBubbleSize val="0"/>
        </c:dLbls>
        <c:gapWidth val="182"/>
        <c:axId val="608632111"/>
        <c:axId val="608633071"/>
      </c:barChart>
      <c:catAx>
        <c:axId val="60863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KE"/>
          </a:p>
        </c:txPr>
        <c:crossAx val="608633071"/>
        <c:crosses val="autoZero"/>
        <c:auto val="1"/>
        <c:lblAlgn val="ctr"/>
        <c:lblOffset val="100"/>
        <c:noMultiLvlLbl val="0"/>
      </c:catAx>
      <c:valAx>
        <c:axId val="608633071"/>
        <c:scaling>
          <c:orientation val="minMax"/>
        </c:scaling>
        <c:delete val="1"/>
        <c:axPos val="b"/>
        <c:numFmt formatCode="_-* #,##0_-;\-* #,##0_-;_-* &quot;-&quot;??_-;_-@_-" sourceLinked="1"/>
        <c:majorTickMark val="none"/>
        <c:minorTickMark val="none"/>
        <c:tickLblPos val="nextTo"/>
        <c:crossAx val="60863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latin typeface="Georgia" panose="02040502050405020303" pitchFamily="18" charset="0"/>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Excel_jumia.xlsx]Pivot Table!PivotTable21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c:f>
              <c:strCache>
                <c:ptCount val="1"/>
                <c:pt idx="0">
                  <c:v>Total</c:v>
                </c:pt>
              </c:strCache>
            </c:strRef>
          </c:tx>
          <c:spPr>
            <a:solidFill>
              <a:schemeClr val="accent1"/>
            </a:solidFill>
            <a:ln>
              <a:noFill/>
            </a:ln>
            <a:effectLst/>
          </c:spPr>
          <c:invertIfNegative val="0"/>
          <c:cat>
            <c:strRef>
              <c:f>'Pivot Table'!$I$3:$I$12</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'Pivot Table'!$J$3:$J$12</c:f>
              <c:numCache>
                <c:formatCode>_-* #,##0_-;\-* #,##0_-;_-* "-"??_-;_-@_-</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9965-43A1-9CEE-52EC7B35251B}"/>
            </c:ext>
          </c:extLst>
        </c:ser>
        <c:dLbls>
          <c:showLegendKey val="0"/>
          <c:showVal val="0"/>
          <c:showCatName val="0"/>
          <c:showSerName val="0"/>
          <c:showPercent val="0"/>
          <c:showBubbleSize val="0"/>
        </c:dLbls>
        <c:gapWidth val="182"/>
        <c:axId val="449037087"/>
        <c:axId val="449037567"/>
      </c:barChart>
      <c:catAx>
        <c:axId val="449037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9037567"/>
        <c:crosses val="autoZero"/>
        <c:auto val="1"/>
        <c:lblAlgn val="ctr"/>
        <c:lblOffset val="100"/>
        <c:noMultiLvlLbl val="0"/>
      </c:catAx>
      <c:valAx>
        <c:axId val="449037567"/>
        <c:scaling>
          <c:orientation val="minMax"/>
        </c:scaling>
        <c:delete val="1"/>
        <c:axPos val="b"/>
        <c:numFmt formatCode="_-* #,##0_-;\-* #,##0_-;_-* &quot;-&quot;??_-;_-@_-" sourceLinked="1"/>
        <c:majorTickMark val="out"/>
        <c:minorTickMark val="none"/>
        <c:tickLblPos val="nextTo"/>
        <c:crossAx val="4490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Excel_jumia.xlsx]Pivot Table!PivotTable22</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Table'!$L$4:$L$13</c:f>
              <c:strCache>
                <c:ptCount val="10"/>
                <c:pt idx="0">
                  <c:v>Memory Foam Neck Pillow Cover, With Pillow Core - 50*30cm</c:v>
                </c:pt>
                <c:pt idx="1">
                  <c:v>DIY File Folder, Office Drawer File Holder, Pen Holder, Desktop Storage Rack</c:v>
                </c:pt>
                <c:pt idx="2">
                  <c:v>13 In 1 Home Repair Tools Box Kit Set</c:v>
                </c:pt>
                <c:pt idx="3">
                  <c:v>Electric LED UV Mosquito Killer Lamp, Outdoor/Indoor Fly Killer Trap Light -USB</c:v>
                </c:pt>
                <c:pt idx="4">
                  <c:v>LASA FOLDING TABLE SERVING STAND</c:v>
                </c:pt>
                <c:pt idx="5">
                  <c:v>LED Eye Protection  Desk Lamp , Study, Reading, USB Fan - Double Pen Holder</c:v>
                </c:pt>
                <c:pt idx="6">
                  <c:v>LASA Aluminum Folding Truck Hand Cart - 68kg Max</c:v>
                </c:pt>
                <c:pt idx="7">
                  <c:v>32PCS Portable Cordless Drill Set With Cyclic Battery Drive -26 Variable Speed</c:v>
                </c:pt>
                <c:pt idx="8">
                  <c:v>LASA 3 Tier Bamboo Shoe Bench Storage Shelf</c:v>
                </c:pt>
                <c:pt idx="9">
                  <c:v>5-PCS Stainless Steel Cooking Pot Set With Steamed Slices</c:v>
                </c:pt>
              </c:strCache>
            </c:strRef>
          </c:cat>
          <c:val>
            <c:numRef>
              <c:f>'Pivot Table'!$M$4:$M$13</c:f>
              <c:numCache>
                <c:formatCode>_-* #,##0_-;\-* #,##0_-;_-* "-"??_-;_-@_-</c:formatCode>
                <c:ptCount val="10"/>
                <c:pt idx="0">
                  <c:v>1010</c:v>
                </c:pt>
                <c:pt idx="1">
                  <c:v>1070</c:v>
                </c:pt>
                <c:pt idx="2">
                  <c:v>1329</c:v>
                </c:pt>
                <c:pt idx="3">
                  <c:v>1418</c:v>
                </c:pt>
                <c:pt idx="4">
                  <c:v>1526</c:v>
                </c:pt>
                <c:pt idx="5">
                  <c:v>1670</c:v>
                </c:pt>
                <c:pt idx="6">
                  <c:v>1946</c:v>
                </c:pt>
                <c:pt idx="7">
                  <c:v>2393</c:v>
                </c:pt>
                <c:pt idx="8">
                  <c:v>2452</c:v>
                </c:pt>
                <c:pt idx="9">
                  <c:v>2585</c:v>
                </c:pt>
              </c:numCache>
            </c:numRef>
          </c:val>
          <c:extLst>
            <c:ext xmlns:c16="http://schemas.microsoft.com/office/drawing/2014/chart" uri="{C3380CC4-5D6E-409C-BE32-E72D297353CC}">
              <c16:uniqueId val="{00000000-E1BE-459D-9C83-B02829B2E0DE}"/>
            </c:ext>
          </c:extLst>
        </c:ser>
        <c:dLbls>
          <c:showLegendKey val="0"/>
          <c:showVal val="0"/>
          <c:showCatName val="0"/>
          <c:showSerName val="0"/>
          <c:showPercent val="0"/>
          <c:showBubbleSize val="0"/>
        </c:dLbls>
        <c:gapWidth val="182"/>
        <c:axId val="732599519"/>
        <c:axId val="732592799"/>
      </c:barChart>
      <c:catAx>
        <c:axId val="73259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32592799"/>
        <c:crosses val="autoZero"/>
        <c:auto val="1"/>
        <c:lblAlgn val="ctr"/>
        <c:lblOffset val="100"/>
        <c:noMultiLvlLbl val="0"/>
      </c:catAx>
      <c:valAx>
        <c:axId val="732592799"/>
        <c:scaling>
          <c:orientation val="minMax"/>
        </c:scaling>
        <c:delete val="1"/>
        <c:axPos val="b"/>
        <c:numFmt formatCode="_-* #,##0_-;\-* #,##0_-;_-* &quot;-&quot;??_-;_-@_-" sourceLinked="1"/>
        <c:majorTickMark val="none"/>
        <c:minorTickMark val="none"/>
        <c:tickLblPos val="nextTo"/>
        <c:crossAx val="73259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Excel_jumia.xlsx]Pivot Table!PivotTable25</c:name>
    <c:fmtId val="8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0842009911333"/>
          <c:y val="7.4702886247877756E-2"/>
          <c:w val="0.83596974923253187"/>
          <c:h val="0.76775369971792573"/>
        </c:manualLayout>
      </c:layout>
      <c:barChart>
        <c:barDir val="col"/>
        <c:grouping val="clustered"/>
        <c:varyColors val="0"/>
        <c:ser>
          <c:idx val="0"/>
          <c:order val="0"/>
          <c:tx>
            <c:strRef>
              <c:f>'Pivot Table'!$C$168</c:f>
              <c:strCache>
                <c:ptCount val="1"/>
                <c:pt idx="0">
                  <c:v>Total</c:v>
                </c:pt>
              </c:strCache>
            </c:strRef>
          </c:tx>
          <c:spPr>
            <a:solidFill>
              <a:schemeClr val="accent1"/>
            </a:solidFill>
            <a:ln>
              <a:noFill/>
            </a:ln>
            <a:effectLst/>
          </c:spPr>
          <c:invertIfNegative val="0"/>
          <c:cat>
            <c:strRef>
              <c:f>'Pivot Table'!$B$169:$B$171</c:f>
              <c:strCache>
                <c:ptCount val="3"/>
                <c:pt idx="0">
                  <c:v>High Discount</c:v>
                </c:pt>
                <c:pt idx="1">
                  <c:v>Medium</c:v>
                </c:pt>
                <c:pt idx="2">
                  <c:v>Low Discount</c:v>
                </c:pt>
              </c:strCache>
            </c:strRef>
          </c:cat>
          <c:val>
            <c:numRef>
              <c:f>'Pivot Table'!$C$169:$C$171</c:f>
              <c:numCache>
                <c:formatCode>_-* #,##0_-;\-* #,##0_-;_-* "-"??_-;_-@_-</c:formatCode>
                <c:ptCount val="3"/>
                <c:pt idx="0">
                  <c:v>31</c:v>
                </c:pt>
                <c:pt idx="1">
                  <c:v>22</c:v>
                </c:pt>
                <c:pt idx="2">
                  <c:v>4</c:v>
                </c:pt>
              </c:numCache>
            </c:numRef>
          </c:val>
          <c:extLst>
            <c:ext xmlns:c16="http://schemas.microsoft.com/office/drawing/2014/chart" uri="{C3380CC4-5D6E-409C-BE32-E72D297353CC}">
              <c16:uniqueId val="{00000000-96F2-4A42-8ED1-2266D18F9BD1}"/>
            </c:ext>
          </c:extLst>
        </c:ser>
        <c:dLbls>
          <c:showLegendKey val="0"/>
          <c:showVal val="0"/>
          <c:showCatName val="0"/>
          <c:showSerName val="0"/>
          <c:showPercent val="0"/>
          <c:showBubbleSize val="0"/>
        </c:dLbls>
        <c:gapWidth val="219"/>
        <c:overlap val="-27"/>
        <c:axId val="452680799"/>
        <c:axId val="452683679"/>
      </c:barChart>
      <c:catAx>
        <c:axId val="45268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2683679"/>
        <c:crosses val="autoZero"/>
        <c:auto val="1"/>
        <c:lblAlgn val="ctr"/>
        <c:lblOffset val="100"/>
        <c:noMultiLvlLbl val="0"/>
      </c:catAx>
      <c:valAx>
        <c:axId val="452683679"/>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268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Excel_jumia.xlsx]Pivot Table!PivotTable23</c:name>
    <c:fmtId val="10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Table'!$C$157</c:f>
              <c:strCache>
                <c:ptCount val="1"/>
                <c:pt idx="0">
                  <c:v>Total</c:v>
                </c:pt>
              </c:strCache>
            </c:strRef>
          </c:tx>
          <c:spPr>
            <a:solidFill>
              <a:schemeClr val="accent1"/>
            </a:solidFill>
            <a:ln>
              <a:noFill/>
            </a:ln>
            <a:effectLst/>
          </c:spPr>
          <c:invertIfNegative val="0"/>
          <c:cat>
            <c:strRef>
              <c:f>'Pivot Table'!$B$158:$B$160</c:f>
              <c:strCache>
                <c:ptCount val="3"/>
                <c:pt idx="0">
                  <c:v>Average</c:v>
                </c:pt>
                <c:pt idx="1">
                  <c:v>Excellent</c:v>
                </c:pt>
                <c:pt idx="2">
                  <c:v>Poor</c:v>
                </c:pt>
              </c:strCache>
            </c:strRef>
          </c:cat>
          <c:val>
            <c:numRef>
              <c:f>'Pivot Table'!$C$158:$C$160</c:f>
              <c:numCache>
                <c:formatCode>_-* #,##0_-;\-* #,##0_-;_-* "-"??_-;_-@_-</c:formatCode>
                <c:ptCount val="3"/>
                <c:pt idx="0">
                  <c:v>22</c:v>
                </c:pt>
                <c:pt idx="1">
                  <c:v>23</c:v>
                </c:pt>
                <c:pt idx="2">
                  <c:v>12</c:v>
                </c:pt>
              </c:numCache>
            </c:numRef>
          </c:val>
          <c:extLst>
            <c:ext xmlns:c16="http://schemas.microsoft.com/office/drawing/2014/chart" uri="{C3380CC4-5D6E-409C-BE32-E72D297353CC}">
              <c16:uniqueId val="{00000000-856A-4739-9803-39327A707FE6}"/>
            </c:ext>
          </c:extLst>
        </c:ser>
        <c:dLbls>
          <c:showLegendKey val="0"/>
          <c:showVal val="0"/>
          <c:showCatName val="0"/>
          <c:showSerName val="0"/>
          <c:showPercent val="0"/>
          <c:showBubbleSize val="0"/>
        </c:dLbls>
        <c:gapWidth val="182"/>
        <c:axId val="623930239"/>
        <c:axId val="623928319"/>
      </c:barChart>
      <c:catAx>
        <c:axId val="62393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23928319"/>
        <c:crosses val="autoZero"/>
        <c:auto val="1"/>
        <c:lblAlgn val="ctr"/>
        <c:lblOffset val="100"/>
        <c:noMultiLvlLbl val="0"/>
      </c:catAx>
      <c:valAx>
        <c:axId val="623928319"/>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2393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Excel_jumia.xlsx]Pivot Table!PivotTable3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Table'!$C$174</c:f>
              <c:strCache>
                <c:ptCount val="1"/>
                <c:pt idx="0">
                  <c:v>Total</c:v>
                </c:pt>
              </c:strCache>
            </c:strRef>
          </c:tx>
          <c:spPr>
            <a:solidFill>
              <a:schemeClr val="accent1"/>
            </a:solidFill>
            <a:ln>
              <a:noFill/>
            </a:ln>
            <a:effectLst/>
          </c:spPr>
          <c:invertIfNegative val="0"/>
          <c:cat>
            <c:strRef>
              <c:f>'Pivot Table'!$B$175:$B$182</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'Pivot Table'!$C$175:$C$182</c:f>
              <c:numCache>
                <c:formatCode>_-* #,##0_-;\-* #,##0_-;_-* "-"??_-;_-@_-</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AA42-4F69-BA35-7D98694A31F3}"/>
            </c:ext>
          </c:extLst>
        </c:ser>
        <c:dLbls>
          <c:showLegendKey val="0"/>
          <c:showVal val="0"/>
          <c:showCatName val="0"/>
          <c:showSerName val="0"/>
          <c:showPercent val="0"/>
          <c:showBubbleSize val="0"/>
        </c:dLbls>
        <c:gapWidth val="182"/>
        <c:axId val="103516688"/>
        <c:axId val="103509968"/>
      </c:barChart>
      <c:catAx>
        <c:axId val="10351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3509968"/>
        <c:crosses val="autoZero"/>
        <c:auto val="1"/>
        <c:lblAlgn val="ctr"/>
        <c:lblOffset val="100"/>
        <c:noMultiLvlLbl val="0"/>
      </c:catAx>
      <c:valAx>
        <c:axId val="103509968"/>
        <c:scaling>
          <c:orientation val="minMax"/>
        </c:scaling>
        <c:delete val="1"/>
        <c:axPos val="b"/>
        <c:numFmt formatCode="_-* #,##0_-;\-* #,##0_-;_-* &quot;-&quot;??_-;_-@_-" sourceLinked="1"/>
        <c:majorTickMark val="none"/>
        <c:minorTickMark val="none"/>
        <c:tickLblPos val="nextTo"/>
        <c:crossAx val="1035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Excel_jumia.xlsx]Pivot Table!PivotTable4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Table'!$C$184</c:f>
              <c:strCache>
                <c:ptCount val="1"/>
                <c:pt idx="0">
                  <c:v>Total</c:v>
                </c:pt>
              </c:strCache>
            </c:strRef>
          </c:tx>
          <c:spPr>
            <a:solidFill>
              <a:schemeClr val="accent1"/>
            </a:solidFill>
            <a:ln>
              <a:noFill/>
            </a:ln>
            <a:effectLst/>
          </c:spPr>
          <c:invertIfNegative val="0"/>
          <c:cat>
            <c:strRef>
              <c:f>'Pivot Table'!$B$185:$B$190</c:f>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f>'Pivot Table'!$C$185:$C$190</c:f>
              <c:numCache>
                <c:formatCode>_-* #,##0_-;\-* #,##0_-;_-* "-"??_-;_-@_-</c:formatCode>
                <c:ptCount val="5"/>
                <c:pt idx="0">
                  <c:v>2</c:v>
                </c:pt>
                <c:pt idx="1">
                  <c:v>2.1</c:v>
                </c:pt>
                <c:pt idx="2">
                  <c:v>2.1</c:v>
                </c:pt>
                <c:pt idx="3">
                  <c:v>2.2000000000000002</c:v>
                </c:pt>
                <c:pt idx="4">
                  <c:v>2.2000000000000002</c:v>
                </c:pt>
              </c:numCache>
            </c:numRef>
          </c:val>
          <c:extLst>
            <c:ext xmlns:c16="http://schemas.microsoft.com/office/drawing/2014/chart" uri="{C3380CC4-5D6E-409C-BE32-E72D297353CC}">
              <c16:uniqueId val="{00000000-8BEC-4323-A912-0E689A8C55E7}"/>
            </c:ext>
          </c:extLst>
        </c:ser>
        <c:dLbls>
          <c:showLegendKey val="0"/>
          <c:showVal val="0"/>
          <c:showCatName val="0"/>
          <c:showSerName val="0"/>
          <c:showPercent val="0"/>
          <c:showBubbleSize val="0"/>
        </c:dLbls>
        <c:gapWidth val="182"/>
        <c:axId val="103526768"/>
        <c:axId val="103528688"/>
      </c:barChart>
      <c:catAx>
        <c:axId val="10352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3528688"/>
        <c:crosses val="autoZero"/>
        <c:auto val="1"/>
        <c:lblAlgn val="ctr"/>
        <c:lblOffset val="100"/>
        <c:noMultiLvlLbl val="0"/>
      </c:catAx>
      <c:valAx>
        <c:axId val="103528688"/>
        <c:scaling>
          <c:orientation val="minMax"/>
        </c:scaling>
        <c:delete val="1"/>
        <c:axPos val="b"/>
        <c:numFmt formatCode="_-* #,##0_-;\-* #,##0_-;_-* &quot;-&quot;??_-;_-@_-" sourceLinked="1"/>
        <c:majorTickMark val="none"/>
        <c:minorTickMark val="none"/>
        <c:tickLblPos val="nextTo"/>
        <c:crossAx val="10352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2.jp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2101850</xdr:colOff>
      <xdr:row>156</xdr:row>
      <xdr:rowOff>25400</xdr:rowOff>
    </xdr:from>
    <xdr:to>
      <xdr:col>5</xdr:col>
      <xdr:colOff>812800</xdr:colOff>
      <xdr:row>162</xdr:row>
      <xdr:rowOff>130175</xdr:rowOff>
    </xdr:to>
    <mc:AlternateContent xmlns:mc="http://schemas.openxmlformats.org/markup-compatibility/2006" xmlns:a14="http://schemas.microsoft.com/office/drawing/2010/main">
      <mc:Choice Requires="a14">
        <xdr:graphicFrame macro="">
          <xdr:nvGraphicFramePr>
            <xdr:cNvPr id="19" name="Rating Category">
              <a:extLst>
                <a:ext uri="{FF2B5EF4-FFF2-40B4-BE49-F238E27FC236}">
                  <a16:creationId xmlns:a16="http://schemas.microsoft.com/office/drawing/2014/main" id="{FE2E784B-04B8-28C1-453F-641AD8429371}"/>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3495675" y="28260675"/>
              <a:ext cx="1828800" cy="11874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20</xdr:col>
      <xdr:colOff>28575</xdr:colOff>
      <xdr:row>37</xdr:row>
      <xdr:rowOff>127320</xdr:rowOff>
    </xdr:to>
    <xdr:pic>
      <xdr:nvPicPr>
        <xdr:cNvPr id="3" name="Picture 2">
          <a:extLst>
            <a:ext uri="{FF2B5EF4-FFF2-40B4-BE49-F238E27FC236}">
              <a16:creationId xmlns:a16="http://schemas.microsoft.com/office/drawing/2014/main" id="{C206ECE0-3615-FE91-EF3E-FEB49D088C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400" y="0"/>
          <a:ext cx="12226925" cy="6882133"/>
        </a:xfrm>
        <a:prstGeom prst="rect">
          <a:avLst/>
        </a:prstGeom>
      </xdr:spPr>
    </xdr:pic>
    <xdr:clientData/>
  </xdr:twoCellAnchor>
  <xdr:twoCellAnchor>
    <xdr:from>
      <xdr:col>7</xdr:col>
      <xdr:colOff>309582</xdr:colOff>
      <xdr:row>12</xdr:row>
      <xdr:rowOff>106357</xdr:rowOff>
    </xdr:from>
    <xdr:to>
      <xdr:col>13</xdr:col>
      <xdr:colOff>146069</xdr:colOff>
      <xdr:row>34</xdr:row>
      <xdr:rowOff>66669</xdr:rowOff>
    </xdr:to>
    <xdr:graphicFrame macro="">
      <xdr:nvGraphicFramePr>
        <xdr:cNvPr id="5" name="Chart 4">
          <a:extLst>
            <a:ext uri="{FF2B5EF4-FFF2-40B4-BE49-F238E27FC236}">
              <a16:creationId xmlns:a16="http://schemas.microsoft.com/office/drawing/2014/main" id="{E7AF310C-FFA8-42CA-B423-2BC505468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173040</xdr:colOff>
      <xdr:row>12</xdr:row>
      <xdr:rowOff>76206</xdr:rowOff>
    </xdr:from>
    <xdr:to>
      <xdr:col>6</xdr:col>
      <xdr:colOff>411165</xdr:colOff>
      <xdr:row>33</xdr:row>
      <xdr:rowOff>173043</xdr:rowOff>
    </xdr:to>
    <xdr:graphicFrame macro="">
      <xdr:nvGraphicFramePr>
        <xdr:cNvPr id="7" name="Chart 6">
          <a:extLst>
            <a:ext uri="{FF2B5EF4-FFF2-40B4-BE49-F238E27FC236}">
              <a16:creationId xmlns:a16="http://schemas.microsoft.com/office/drawing/2014/main" id="{01F2953D-6D09-4F92-96E0-2633FC259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314325</xdr:colOff>
      <xdr:row>13</xdr:row>
      <xdr:rowOff>66675</xdr:rowOff>
    </xdr:from>
    <xdr:to>
      <xdr:col>19</xdr:col>
      <xdr:colOff>6350</xdr:colOff>
      <xdr:row>34</xdr:row>
      <xdr:rowOff>95250</xdr:rowOff>
    </xdr:to>
    <xdr:graphicFrame macro="">
      <xdr:nvGraphicFramePr>
        <xdr:cNvPr id="8" name="Chart 7">
          <a:extLst>
            <a:ext uri="{FF2B5EF4-FFF2-40B4-BE49-F238E27FC236}">
              <a16:creationId xmlns:a16="http://schemas.microsoft.com/office/drawing/2014/main" id="{3AA467AD-1F47-4EEA-9A69-9558EE4AF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420932</xdr:colOff>
      <xdr:row>9</xdr:row>
      <xdr:rowOff>36634</xdr:rowOff>
    </xdr:from>
    <xdr:to>
      <xdr:col>11</xdr:col>
      <xdr:colOff>475883</xdr:colOff>
      <xdr:row>10</xdr:row>
      <xdr:rowOff>94395</xdr:rowOff>
    </xdr:to>
    <xdr:sp macro="" textlink="'Pivot Table'!$F$7">
      <xdr:nvSpPr>
        <xdr:cNvPr id="12" name="TextBox 11">
          <a:extLst>
            <a:ext uri="{FF2B5EF4-FFF2-40B4-BE49-F238E27FC236}">
              <a16:creationId xmlns:a16="http://schemas.microsoft.com/office/drawing/2014/main" id="{F1E07B59-E7B8-ABE0-9F8D-DFE810A6F583}"/>
            </a:ext>
          </a:extLst>
        </xdr:cNvPr>
        <xdr:cNvSpPr txBox="1"/>
      </xdr:nvSpPr>
      <xdr:spPr>
        <a:xfrm>
          <a:off x="5943600" y="1685192"/>
          <a:ext cx="1282211" cy="24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823C99-F8F5-4871-A91E-4D6248B90F13}" type="TxLink">
            <a:rPr lang="en-US" sz="1100" b="0" i="0" u="none" strike="noStrike">
              <a:solidFill>
                <a:srgbClr val="000000"/>
              </a:solidFill>
              <a:latin typeface="Calibri"/>
              <a:ea typeface="Calibri"/>
              <a:cs typeface="Calibri"/>
            </a:rPr>
            <a:pPr/>
            <a:t>57</a:t>
          </a:fld>
          <a:endParaRPr lang="en-KE" sz="1100"/>
        </a:p>
      </xdr:txBody>
    </xdr:sp>
    <xdr:clientData/>
  </xdr:twoCellAnchor>
  <xdr:twoCellAnchor>
    <xdr:from>
      <xdr:col>12</xdr:col>
      <xdr:colOff>265234</xdr:colOff>
      <xdr:row>8</xdr:row>
      <xdr:rowOff>161680</xdr:rowOff>
    </xdr:from>
    <xdr:to>
      <xdr:col>14</xdr:col>
      <xdr:colOff>313836</xdr:colOff>
      <xdr:row>10</xdr:row>
      <xdr:rowOff>26743</xdr:rowOff>
    </xdr:to>
    <xdr:sp macro="" textlink="'Pivot Table'!$C$6">
      <xdr:nvSpPr>
        <xdr:cNvPr id="13" name="TextBox 12">
          <a:extLst>
            <a:ext uri="{FF2B5EF4-FFF2-40B4-BE49-F238E27FC236}">
              <a16:creationId xmlns:a16="http://schemas.microsoft.com/office/drawing/2014/main" id="{9C7141D0-72DF-ECD2-7129-FEF1DFCC5602}"/>
            </a:ext>
          </a:extLst>
        </xdr:cNvPr>
        <xdr:cNvSpPr txBox="1"/>
      </xdr:nvSpPr>
      <xdr:spPr>
        <a:xfrm>
          <a:off x="7628792" y="1627065"/>
          <a:ext cx="1275861" cy="231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C52AF5-3060-46EB-8009-D47E0BB567AB}" type="TxLink">
            <a:rPr lang="en-US" sz="1100" b="0" i="0" u="none" strike="noStrike">
              <a:solidFill>
                <a:srgbClr val="000000"/>
              </a:solidFill>
              <a:latin typeface="Calibri"/>
              <a:ea typeface="Calibri"/>
              <a:cs typeface="Calibri"/>
            </a:rPr>
            <a:pPr/>
            <a:t> 2,054.51 </a:t>
          </a:fld>
          <a:endParaRPr lang="en-KE" sz="1100"/>
        </a:p>
      </xdr:txBody>
    </xdr:sp>
    <xdr:clientData/>
  </xdr:twoCellAnchor>
  <xdr:twoCellAnchor>
    <xdr:from>
      <xdr:col>15</xdr:col>
      <xdr:colOff>140188</xdr:colOff>
      <xdr:row>8</xdr:row>
      <xdr:rowOff>161680</xdr:rowOff>
    </xdr:from>
    <xdr:to>
      <xdr:col>17</xdr:col>
      <xdr:colOff>188789</xdr:colOff>
      <xdr:row>10</xdr:row>
      <xdr:rowOff>36268</xdr:rowOff>
    </xdr:to>
    <xdr:sp macro="" textlink="'Pivot Table'!$C$3">
      <xdr:nvSpPr>
        <xdr:cNvPr id="14" name="TextBox 13">
          <a:extLst>
            <a:ext uri="{FF2B5EF4-FFF2-40B4-BE49-F238E27FC236}">
              <a16:creationId xmlns:a16="http://schemas.microsoft.com/office/drawing/2014/main" id="{FBF3E1AD-49C1-53AB-CAD8-6EC50046FDFA}"/>
            </a:ext>
          </a:extLst>
        </xdr:cNvPr>
        <xdr:cNvSpPr txBox="1"/>
      </xdr:nvSpPr>
      <xdr:spPr>
        <a:xfrm>
          <a:off x="9344635" y="1627065"/>
          <a:ext cx="1275861" cy="24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CEB5DC-5AF9-415F-B0FA-AA05CB18CA2B}" type="TxLink">
            <a:rPr lang="en-US" sz="1100" b="0" i="0" u="none" strike="noStrike">
              <a:solidFill>
                <a:srgbClr val="000000"/>
              </a:solidFill>
              <a:latin typeface="Calibri"/>
              <a:ea typeface="Calibri"/>
              <a:cs typeface="Calibri"/>
            </a:rPr>
            <a:pPr/>
            <a:t> 1,303 </a:t>
          </a:fld>
          <a:endParaRPr lang="en-KE" sz="1100"/>
        </a:p>
      </xdr:txBody>
    </xdr:sp>
    <xdr:clientData/>
  </xdr:twoCellAnchor>
  <xdr:twoCellAnchor>
    <xdr:from>
      <xdr:col>1</xdr:col>
      <xdr:colOff>161680</xdr:colOff>
      <xdr:row>8</xdr:row>
      <xdr:rowOff>161680</xdr:rowOff>
    </xdr:from>
    <xdr:to>
      <xdr:col>3</xdr:col>
      <xdr:colOff>216632</xdr:colOff>
      <xdr:row>10</xdr:row>
      <xdr:rowOff>36268</xdr:rowOff>
    </xdr:to>
    <xdr:sp macro="" textlink="'Pivot Table'!$F$4">
      <xdr:nvSpPr>
        <xdr:cNvPr id="15" name="TextBox 14">
          <a:extLst>
            <a:ext uri="{FF2B5EF4-FFF2-40B4-BE49-F238E27FC236}">
              <a16:creationId xmlns:a16="http://schemas.microsoft.com/office/drawing/2014/main" id="{56E86F52-8EF7-512C-6BDE-207B7B2B583F}"/>
            </a:ext>
          </a:extLst>
        </xdr:cNvPr>
        <xdr:cNvSpPr txBox="1"/>
      </xdr:nvSpPr>
      <xdr:spPr>
        <a:xfrm>
          <a:off x="775310" y="1627065"/>
          <a:ext cx="1282211" cy="24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3E2624-0575-4A7E-A37B-BF2F227F0B1C}" type="TxLink">
            <a:rPr lang="en-US" sz="1100" b="0" i="0" u="none" strike="noStrike">
              <a:solidFill>
                <a:srgbClr val="000000"/>
              </a:solidFill>
              <a:latin typeface="Calibri"/>
              <a:ea typeface="Calibri"/>
              <a:cs typeface="Calibri"/>
            </a:rPr>
            <a:pPr/>
            <a:t>57</a:t>
          </a:fld>
          <a:endParaRPr lang="en-KE" sz="1100"/>
        </a:p>
      </xdr:txBody>
    </xdr:sp>
    <xdr:clientData/>
  </xdr:twoCellAnchor>
  <xdr:twoCellAnchor>
    <xdr:from>
      <xdr:col>4</xdr:col>
      <xdr:colOff>76077</xdr:colOff>
      <xdr:row>8</xdr:row>
      <xdr:rowOff>161680</xdr:rowOff>
    </xdr:from>
    <xdr:to>
      <xdr:col>6</xdr:col>
      <xdr:colOff>131028</xdr:colOff>
      <xdr:row>10</xdr:row>
      <xdr:rowOff>36268</xdr:rowOff>
    </xdr:to>
    <xdr:sp macro="" textlink="'Pivot Table'!$C$12">
      <xdr:nvSpPr>
        <xdr:cNvPr id="16" name="TextBox 15">
          <a:extLst>
            <a:ext uri="{FF2B5EF4-FFF2-40B4-BE49-F238E27FC236}">
              <a16:creationId xmlns:a16="http://schemas.microsoft.com/office/drawing/2014/main" id="{54AB0D04-01F1-64CD-5D2A-612EBD47CB10}"/>
            </a:ext>
          </a:extLst>
        </xdr:cNvPr>
        <xdr:cNvSpPr txBox="1"/>
      </xdr:nvSpPr>
      <xdr:spPr>
        <a:xfrm>
          <a:off x="2530596" y="1627065"/>
          <a:ext cx="1282211" cy="24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D8EC3A-CFC0-4620-A7A9-DAF3E97CBB61}" type="TxLink">
            <a:rPr lang="en-US" sz="1100" b="0" i="0" u="none" strike="noStrike">
              <a:solidFill>
                <a:srgbClr val="000000"/>
              </a:solidFill>
              <a:latin typeface="Calibri"/>
              <a:ea typeface="Calibri"/>
              <a:cs typeface="Calibri"/>
            </a:rPr>
            <a:pPr/>
            <a:t>4</a:t>
          </a:fld>
          <a:endParaRPr lang="en-KE" sz="1100"/>
        </a:p>
      </xdr:txBody>
    </xdr:sp>
    <xdr:clientData/>
  </xdr:twoCellAnchor>
  <xdr:twoCellAnchor>
    <xdr:from>
      <xdr:col>6</xdr:col>
      <xdr:colOff>512517</xdr:colOff>
      <xdr:row>8</xdr:row>
      <xdr:rowOff>161680</xdr:rowOff>
    </xdr:from>
    <xdr:to>
      <xdr:col>8</xdr:col>
      <xdr:colOff>564294</xdr:colOff>
      <xdr:row>10</xdr:row>
      <xdr:rowOff>36268</xdr:rowOff>
    </xdr:to>
    <xdr:sp macro="" textlink="'Pivot Table'!$C$9">
      <xdr:nvSpPr>
        <xdr:cNvPr id="17" name="TextBox 16">
          <a:extLst>
            <a:ext uri="{FF2B5EF4-FFF2-40B4-BE49-F238E27FC236}">
              <a16:creationId xmlns:a16="http://schemas.microsoft.com/office/drawing/2014/main" id="{055E3130-2960-1579-FB56-240049D6960A}"/>
            </a:ext>
          </a:extLst>
        </xdr:cNvPr>
        <xdr:cNvSpPr txBox="1"/>
      </xdr:nvSpPr>
      <xdr:spPr>
        <a:xfrm>
          <a:off x="4194296" y="1627065"/>
          <a:ext cx="1279036" cy="24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037538-E2AD-4B2C-89A5-9F96098A23C0}" type="TxLink">
            <a:rPr lang="en-US" sz="1100" b="0" i="0" u="none" strike="noStrike">
              <a:solidFill>
                <a:srgbClr val="000000"/>
              </a:solidFill>
              <a:latin typeface="Calibri"/>
              <a:ea typeface="Calibri"/>
              <a:cs typeface="Calibri"/>
            </a:rPr>
            <a:pPr/>
            <a:t>39%</a:t>
          </a:fld>
          <a:endParaRPr lang="en-KE"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146050</xdr:colOff>
      <xdr:row>1</xdr:row>
      <xdr:rowOff>13607</xdr:rowOff>
    </xdr:from>
    <xdr:to>
      <xdr:col>20</xdr:col>
      <xdr:colOff>146050</xdr:colOff>
      <xdr:row>37</xdr:row>
      <xdr:rowOff>13607</xdr:rowOff>
    </xdr:to>
    <xdr:pic>
      <xdr:nvPicPr>
        <xdr:cNvPr id="27" name="Picture 26">
          <a:extLst>
            <a:ext uri="{FF2B5EF4-FFF2-40B4-BE49-F238E27FC236}">
              <a16:creationId xmlns:a16="http://schemas.microsoft.com/office/drawing/2014/main" id="{69CE00A4-2054-8A32-A094-37F3F3847F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46050" y="204107"/>
          <a:ext cx="12192000" cy="6858000"/>
        </a:xfrm>
        <a:prstGeom prst="rect">
          <a:avLst/>
        </a:prstGeom>
      </xdr:spPr>
    </xdr:pic>
    <xdr:clientData/>
  </xdr:twoCellAnchor>
  <xdr:twoCellAnchor>
    <xdr:from>
      <xdr:col>1</xdr:col>
      <xdr:colOff>231774</xdr:colOff>
      <xdr:row>10</xdr:row>
      <xdr:rowOff>142875</xdr:rowOff>
    </xdr:from>
    <xdr:to>
      <xdr:col>6</xdr:col>
      <xdr:colOff>206375</xdr:colOff>
      <xdr:row>21</xdr:row>
      <xdr:rowOff>15875</xdr:rowOff>
    </xdr:to>
    <xdr:graphicFrame macro="">
      <xdr:nvGraphicFramePr>
        <xdr:cNvPr id="30" name="Chart 29">
          <a:extLst>
            <a:ext uri="{FF2B5EF4-FFF2-40B4-BE49-F238E27FC236}">
              <a16:creationId xmlns:a16="http://schemas.microsoft.com/office/drawing/2014/main" id="{0DCC4A2A-9FFC-4E3F-BA09-64946D0B7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104775</xdr:colOff>
      <xdr:row>25</xdr:row>
      <xdr:rowOff>15875</xdr:rowOff>
    </xdr:from>
    <xdr:to>
      <xdr:col>6</xdr:col>
      <xdr:colOff>447675</xdr:colOff>
      <xdr:row>35</xdr:row>
      <xdr:rowOff>142875</xdr:rowOff>
    </xdr:to>
    <xdr:graphicFrame macro="">
      <xdr:nvGraphicFramePr>
        <xdr:cNvPr id="33" name="Chart 32">
          <a:extLst>
            <a:ext uri="{FF2B5EF4-FFF2-40B4-BE49-F238E27FC236}">
              <a16:creationId xmlns:a16="http://schemas.microsoft.com/office/drawing/2014/main" id="{92B8204F-D142-48FD-AAB4-966393C8B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91621</xdr:colOff>
      <xdr:row>9</xdr:row>
      <xdr:rowOff>27667</xdr:rowOff>
    </xdr:from>
    <xdr:to>
      <xdr:col>13</xdr:col>
      <xdr:colOff>408214</xdr:colOff>
      <xdr:row>25</xdr:row>
      <xdr:rowOff>99787</xdr:rowOff>
    </xdr:to>
    <xdr:graphicFrame macro="">
      <xdr:nvGraphicFramePr>
        <xdr:cNvPr id="2" name="Chart 1">
          <a:extLst>
            <a:ext uri="{FF2B5EF4-FFF2-40B4-BE49-F238E27FC236}">
              <a16:creationId xmlns:a16="http://schemas.microsoft.com/office/drawing/2014/main" id="{16949AC3-5304-4101-BD57-43A149FE3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480785</xdr:colOff>
      <xdr:row>9</xdr:row>
      <xdr:rowOff>63955</xdr:rowOff>
    </xdr:from>
    <xdr:to>
      <xdr:col>19</xdr:col>
      <xdr:colOff>226784</xdr:colOff>
      <xdr:row>24</xdr:row>
      <xdr:rowOff>85726</xdr:rowOff>
    </xdr:to>
    <xdr:graphicFrame macro="">
      <xdr:nvGraphicFramePr>
        <xdr:cNvPr id="4" name="Chart 3">
          <a:extLst>
            <a:ext uri="{FF2B5EF4-FFF2-40B4-BE49-F238E27FC236}">
              <a16:creationId xmlns:a16="http://schemas.microsoft.com/office/drawing/2014/main" id="{4043F20D-4717-442B-B9DD-46568C6B2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108857</xdr:colOff>
      <xdr:row>27</xdr:row>
      <xdr:rowOff>136072</xdr:rowOff>
    </xdr:from>
    <xdr:to>
      <xdr:col>18</xdr:col>
      <xdr:colOff>553357</xdr:colOff>
      <xdr:row>35</xdr:row>
      <xdr:rowOff>9071</xdr:rowOff>
    </xdr:to>
    <xdr:sp macro="" textlink="">
      <xdr:nvSpPr>
        <xdr:cNvPr id="9" name="TextBox 8">
          <a:extLst>
            <a:ext uri="{FF2B5EF4-FFF2-40B4-BE49-F238E27FC236}">
              <a16:creationId xmlns:a16="http://schemas.microsoft.com/office/drawing/2014/main" id="{564628F2-7E81-206C-1E9E-A20B858C6AF1}"/>
            </a:ext>
          </a:extLst>
        </xdr:cNvPr>
        <xdr:cNvSpPr txBox="1"/>
      </xdr:nvSpPr>
      <xdr:spPr>
        <a:xfrm>
          <a:off x="4971143" y="5034643"/>
          <a:ext cx="6522357" cy="132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Georgia" panose="02040502050405020303" pitchFamily="18" charset="0"/>
            </a:rPr>
            <a:t>From the dashboard, It is clear that:</a:t>
          </a:r>
        </a:p>
        <a:p>
          <a:r>
            <a:rPr lang="en-US" sz="1400">
              <a:latin typeface="Georgia" panose="02040502050405020303" pitchFamily="18" charset="0"/>
            </a:rPr>
            <a:t>1.</a:t>
          </a:r>
          <a:r>
            <a:rPr lang="en-US" sz="1400" baseline="0">
              <a:latin typeface="Georgia" panose="02040502050405020303" pitchFamily="18" charset="0"/>
            </a:rPr>
            <a:t> Products with Higher discounts receive high reviews from customers</a:t>
          </a:r>
        </a:p>
        <a:p>
          <a:r>
            <a:rPr lang="en-US" sz="1400" baseline="0">
              <a:latin typeface="Georgia" panose="02040502050405020303" pitchFamily="18" charset="0"/>
            </a:rPr>
            <a:t>2. Rating on products also have a direct influence on the number of reviews it receive. As shown, Excellent Rating, which is 4 and above out of 5 receive more reviews. </a:t>
          </a:r>
          <a:endParaRPr lang="en-KE" sz="1400">
            <a:latin typeface="Georgia" panose="02040502050405020303"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2471964</xdr:colOff>
      <xdr:row>1</xdr:row>
      <xdr:rowOff>142221</xdr:rowOff>
    </xdr:from>
    <xdr:to>
      <xdr:col>3</xdr:col>
      <xdr:colOff>503967</xdr:colOff>
      <xdr:row>5</xdr:row>
      <xdr:rowOff>29230</xdr:rowOff>
    </xdr:to>
    <mc:AlternateContent xmlns:mc="http://schemas.openxmlformats.org/markup-compatibility/2006" xmlns:a14="http://schemas.microsoft.com/office/drawing/2010/main">
      <mc:Choice Requires="a14">
        <xdr:graphicFrame macro="">
          <xdr:nvGraphicFramePr>
            <xdr:cNvPr id="3" name="Rating Category 1">
              <a:extLst>
                <a:ext uri="{FF2B5EF4-FFF2-40B4-BE49-F238E27FC236}">
                  <a16:creationId xmlns:a16="http://schemas.microsoft.com/office/drawing/2014/main" id="{52D4488E-78BC-A45C-D702-D4D10B53ACC9}"/>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3079750" y="323650"/>
              <a:ext cx="3447646" cy="61272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Igana" refreshedDate="46105.956695717592" createdVersion="8" refreshedVersion="8" minRefreshableVersion="3" recordCount="57" xr:uid="{0397AFF9-57CD-4050-AF52-AB80095D524D}">
  <cacheSource type="worksheet">
    <worksheetSource name="JumiaTable"/>
  </cacheSource>
  <cacheFields count="9">
    <cacheField name="Product" numFmtId="0">
      <sharedItems count="109">
        <s v="DIY File Folder, Office Drawer File Holder, Pen Holder, Desktop Storage Rack"/>
        <s v="Memory Foam Neck Pillow Cover, With Pillow Core - 50*30cm"/>
        <s v="Bedroom Simple Floor Hanging Clothes Rack Single Pole Hat Rack - White"/>
        <s v="Household Pineapple Peeler Peeler"/>
        <s v="Konka Healty Electric Kettle, 24-hour Heat Preservation,1.5L,800W, White"/>
        <s v="Wall-mounted Sticker Punch-free Plug Fixer"/>
        <s v="115  Piece Set Of Multifunctional Precision Screwdrivers"/>
        <s v="Desk Foldable Fan Adjustable Fan Strong Wind 3 Gear Usb"/>
        <s v="Anti-Skid Absorbent Insulation Coaster  For Home Office"/>
        <s v="Peacock  Throw Pillow Cushion Case For Home Car"/>
        <s v="Classic Black Cat Cotton Hemp Pillow Case For Home Car"/>
        <s v="1/2/3 Seater Elastic Sofa Cover,Living Room/Home Decor Chair Cover-Grey"/>
        <s v="LASA Aluminum Folding Truck Hand Cart - 68kg Max"/>
        <s v="Portable Home Small Air Humidifier 3-Speed Fan - Green"/>
        <s v="LASA FOLDING TABLE SERVING STAND"/>
        <s v="13 In 1 Home Repair Tools Box Kit Set"/>
        <s v="LED Wall Digital Alarm Clock Study Home 12 / 24H Clock Calendar"/>
        <s v="32PCS Portable Cordless Drill Set With Cyclic Battery Drive -26 Variable Speed"/>
        <s v="Large Lazy Inflatable Sofa Chairs PVC Lounger Seat Bag"/>
        <s v="Wrought Iron Bathroom Shelf Wall Mounted Free Punch Toilet Rack"/>
        <s v="LASA Digital Thermometer And Hydrometer"/>
        <s v="LED Romantic Spaceship Starry Sky Projector,Children's Bedroom Night Light-Blue"/>
        <s v="5 Pieces/set Of Stainless Steel Induction Cooker Pots"/>
        <s v="Artificial Potted Flowers Room Decorative Flowers (2 Pieces)"/>
        <s v="Watercolour Gold Foil Textured Print Pillow Cover"/>
        <s v="7-piece Set Of Storage Bags, Travel Storage Bags, Shoe Bags"/>
        <s v="Weighing Scale Digital Bathroom Body Fat Scale USB-Black"/>
        <s v="LASA 3 Tier Bamboo Shoe Bench Storage Shelf"/>
        <s v="380ML USB Rechargeable Portable Small Blenders And Juicers"/>
        <s v="Electric LED UV Mosquito Killer Lamp, Outdoor/Indoor Fly Killer Trap Light -USB"/>
        <s v="Multifunction Laser Level With Adjustment Tripod"/>
        <s v="Exfoliate And Exfoliate Face Towel - Black"/>
        <s v="LED Eye Protection  Desk Lamp , Study, Reading, USB Fan - Double Pen Holder"/>
        <s v="Mythco 120COB Solar Wall Ligt With Motion Sensor And Remote Control 3 Modes"/>
        <s v="Genebre 115 In 1 Screwdriver Repairing Tool Set For IPhone Cellphone Hand Tool"/>
        <s v="40cm Gold DIY Acrylic Wall Sticker Clock"/>
        <s v="Portable Wardrobe Nonwoven With 3 Hanging Rods And 6 Storage Shelves"/>
        <s v="12 Litre Insulated Lunch Box Grey"/>
        <s v="3PCS Single Head Knitting Crochet Sweater Needle Set"/>
        <s v="12 Litre Black Insulated Lunch Box"/>
        <s v="5-PCS Stainless Steel Cooking Pot Set With Steamed Slices"/>
        <s v="Metal Decorative Hooks Key Hangers Entryway Wall Hooks Towel Hooks - Home"/>
        <s v="Foldable Overbed Table/Desk"/>
        <s v="220V 60W Electric Soldering Iron Kits With Tools, Tips, And Multimeter"/>
        <s v="Intelligent  LED Body Sensor Wireless Lighting Night Light USB"/>
        <s v="VIC Wireless Vacuum Cleaner Dual Use For Home And Car 120W High Power Powerful"/>
        <s v="Agapeon Toothbrush Holder And Toothpaste Dispenser"/>
        <s v="52 Pieces Cake Decorating Tool Set Gift Kit Baking Supplies"/>
        <s v="53Pcs/Set Yarn Knitting Crochet Hooks With Bag - Fortune Cat"/>
        <s v="Portable Mini Cordless Car Vacuum Cleaner - Blue"/>
        <s v="53 Pieces/Set Yarn Knitting Crochet Hooks With Bag - Pansies"/>
        <s v="Punch-free Great Load Bearing Bathroom Storage Rack Wall Shelf-White"/>
        <s v="100 Pcs Crochet Hook Tool Set Knitting Hook Set With Box"/>
        <s v="3D Waterproof EVA Plastic Shower Curtain 1.8*2Mtrs"/>
        <s v="Electronic Digital Display Vernier Caliper"/>
        <s v="137 Pieces Cake Decorating Tool Set Baking Supplies"/>
        <s v="120W Cordless Vacuum Cleaners Handheld Electric Vacuum Cleaner"/>
        <s v="4pcs Bathroom/Kitchen Towel Rack,Roll Paper Holder,Towel Bars,Hook" u="1"/>
        <s v="MultiFunctional Storage Rack Multi-layer Booelf" u="1"/>
        <s v="LASA Stainless Steel Double Wall Mount Soap Dispenser - 500ml" u="1"/>
        <s v="4M Float Switch Water Level Controller -Water Tank" u="1"/>
        <s v="Modern Sofa Throw Pillow Cover-45x45cm-Blue&amp;Red" u="1"/>
        <s v="Balloon Insert, Birthday Party Balloon Set, PU Leather" u="1"/>
        <s v="Shower Cap Wide Elastic Band Cover Reusable Bashroom Cap" u="1"/>
        <s v="Christmas Elk Fence Yard Lawn Decorations Cute For Holidays" u="1"/>
        <s v="60W Hot Melt Glue Sprayer - Efficient And Stable Glue Dispensing" u="1"/>
        <s v="Car Phone Charging Stand" u="1"/>
        <s v="2pcs Solar Street Light Flood Light Outdoor" u="1"/>
        <s v="Creative Owl Shape Keychain Black" u="1"/>
        <s v="Brush &amp; Paintbrush Cleaning Tool Pink" u="1"/>
        <s v="Pen Grips For Kids Pen Grip Posture Correction Tool For Kids" u="1"/>
        <s v="Pilates Cloth Bag Waterproof Durable High Capacity Purple" u="1"/>
        <s v="Multi-purpose Rice Drainage Basket And Fruit And Vegetable Drainage Sieve" u="1"/>
        <s v="Cute Christmas Fence Garden Decorations For Holiday Home" u="1"/>
        <s v="Simple Metal Dog Art Sculpture Decoration For Home Office" u="1"/>
        <s v="Christmas Fence Garden Decorations Outdoor For Holiday Home" u="1"/>
        <s v="Angle Measuring Tool Full Metal Multi Angle Measuring Tool" u="1"/>
        <s v="12V 19500rpm Handheld Electric Angle Grinder Tool - UK - Yellow/Black" u="1"/>
        <s v="2PCS/LOT Solar LED Outdoor Intelligent Light Controlled Wall Lamp" u="1"/>
        <s v="3PCS Rotary Scraper Thermomix For Kitchen" u="1"/>
        <s v="Cushion Silicone Butt Cushion Summer Ice Cushion Honeycomb Gel Cushion" u="1"/>
        <s v="7PCS Silicone Thumb Knife Finger Protector Vegetable Harvesting Knife" u="1"/>
        <s v="5m Waterproof Spherical LED String Lights Outdoor Ball Chain Lights Party Lighting Decoration Adjustable" u="1"/>
        <s v="2 Pairs Cowhide Split Leather Work Gloves.32â„‰ Or Above Welding Gloves" u="1"/>
        <s v="Office Chair Lumbar Back Support Spine Posture Correction Pillow Car Cushion" u="1"/>
        <s v="Cartoon Car Decoration Cute Individuality For Car Home Desk" u="1"/>
        <s v="Outdoor Portable Water Bottle With Medicine Box - 600ML - Black" u="1"/>
        <s v="Wall-Mounted Toothbrush Toothpaste Holder With Multiple Slots" u="1"/>
        <s v="Multifunctional Hanging Storage Box Storage Bag (4 Layers)" u="1"/>
        <s v="Wall Clock With Hidden Safe Box" u="1"/>
        <s v="Portable Wine Table With Folding Round Table" u="1"/>
        <s v="Sewing Machine Needle Threader Stitch Insertion Tool Automatic Quick Sewing" u="1"/>
        <s v="6 Layers Steel Pipe Assembling Dustproof Storage Shoe Cabinet" u="1"/>
        <s v="2PCS Ice Silk Square Cushion Cover Pillowcases - 65x65cm" u="1"/>
        <s v="Wall Mount Automatic Toothpaste Dispenser Toothbrush Holder Toothpaste Squeezer" u="1"/>
        <s v="Portable Soap Dispenser Kitchen Detergent Press Box Kitchen Tools" u="1"/>
        <s v="4 Piece Coloured Stainless Steel Kitchenware Set" u="1"/>
        <s v="Metal Wall Clock Silver Dial Crystal Jewelry Round Home Decoration Wall Clock" u="1"/>
        <s v="Baby Early Education Shape And Color Cognitive Training Toys" u="1"/>
        <s v="8in1 Screwdriver With LED Light" u="1"/>
        <s v="9pcs Gas Mask, For Painting, Dust, Formaldehyde Grinding, Polishing" u="1"/>
        <s v="24 Grid Wall-mounted Sundries Organiser Fabric Closet Bag Storage Rack" u="1"/>
        <s v="1PC Refrigerator Food Seal Pocket Fridge Bags" u="1"/>
        <s v="LED Solar Street Light-fake Camera" u="1"/>
        <s v="Cartoon Embroidered Mini Towel Bear Cotton Wash Cloth Hand 4pcs" u="1"/>
        <s v="Shower Nozzle Cleaning Unclogging Needle Mini Crevice Small Hole Cleaning Brush" u="1"/>
        <s v="Thickening Multipurpose Non Stick Easy To Clean Heat Resistant Spoon Pad" u="1"/>
        <s v="6 In 1 Bottle Can Opener Multifunctional Easy Opener" u="1"/>
        <s v="Black Simple Water Cup Wine Coaster Anti Slip Absorbent" u="1"/>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Amount(Ksh)" numFmtId="3">
      <sharedItems containsSemiMixedTypes="0" containsString="0" containsNumber="1" containsInteger="1" minValue="42" maxValue="2585"/>
    </cacheField>
    <cacheField name="Discount %" numFmtId="9">
      <sharedItems containsSemiMixedTypes="0" containsString="0" containsNumber="1" minValue="0.09" maxValue="0.55000000000000004"/>
    </cacheField>
    <cacheField name="Discount Category" numFmtId="9">
      <sharedItems count="3">
        <s v="High Discount"/>
        <s v="Medium"/>
        <s v="Low Discount"/>
      </sharedItems>
    </cacheField>
    <cacheField name="Review" numFmtId="0">
      <sharedItems containsSemiMixedTypes="0" containsString="0" containsNumber="1" containsInteger="1" minValue="1" maxValue="69"/>
    </cacheField>
    <cacheField name="Rating" numFmtId="164">
      <sharedItems containsSemiMixedTypes="0" containsString="0" containsNumber="1" minValue="2" maxValue="5"/>
    </cacheField>
    <cacheField name="Rating Category" numFmtId="0">
      <sharedItems count="3">
        <s v="Excellent"/>
        <s v="Average"/>
        <s v="Poor"/>
      </sharedItems>
    </cacheField>
  </cacheFields>
  <extLst>
    <ext xmlns:x14="http://schemas.microsoft.com/office/spreadsheetml/2009/9/main" uri="{725AE2AE-9491-48be-B2B4-4EB974FC3084}">
      <x14:pivotCacheDefinition pivotCacheId="8444910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n v="1620"/>
    <n v="2690"/>
    <n v="1070"/>
    <n v="0.4"/>
    <x v="0"/>
    <n v="1"/>
    <n v="5"/>
    <x v="0"/>
  </r>
  <r>
    <x v="1"/>
    <n v="1189"/>
    <n v="2199"/>
    <n v="1010"/>
    <n v="0.46"/>
    <x v="0"/>
    <n v="1"/>
    <n v="3"/>
    <x v="1"/>
  </r>
  <r>
    <x v="2"/>
    <n v="979"/>
    <n v="1920"/>
    <n v="941"/>
    <n v="0.49"/>
    <x v="0"/>
    <n v="1"/>
    <n v="5"/>
    <x v="0"/>
  </r>
  <r>
    <x v="3"/>
    <n v="330"/>
    <n v="647"/>
    <n v="317"/>
    <n v="0.49"/>
    <x v="0"/>
    <n v="1"/>
    <n v="4"/>
    <x v="1"/>
  </r>
  <r>
    <x v="4"/>
    <n v="3640"/>
    <n v="4588"/>
    <n v="948"/>
    <n v="0.21"/>
    <x v="1"/>
    <n v="1"/>
    <n v="5"/>
    <x v="0"/>
  </r>
  <r>
    <x v="5"/>
    <n v="450"/>
    <n v="900"/>
    <n v="450"/>
    <n v="0.5"/>
    <x v="0"/>
    <n v="1"/>
    <n v="2"/>
    <x v="2"/>
  </r>
  <r>
    <x v="6"/>
    <n v="950"/>
    <n v="1525"/>
    <n v="575"/>
    <n v="0.38"/>
    <x v="1"/>
    <n v="2"/>
    <n v="4.5"/>
    <x v="0"/>
  </r>
  <r>
    <x v="7"/>
    <n v="988"/>
    <n v="1580"/>
    <n v="592"/>
    <n v="0.37"/>
    <x v="1"/>
    <n v="2"/>
    <n v="4"/>
    <x v="1"/>
  </r>
  <r>
    <x v="8"/>
    <n v="332"/>
    <n v="684"/>
    <n v="352"/>
    <n v="0.51"/>
    <x v="0"/>
    <n v="2"/>
    <n v="5"/>
    <x v="0"/>
  </r>
  <r>
    <x v="9"/>
    <n v="195"/>
    <n v="360"/>
    <n v="165"/>
    <n v="0.46"/>
    <x v="0"/>
    <n v="2"/>
    <n v="5"/>
    <x v="0"/>
  </r>
  <r>
    <x v="10"/>
    <n v="171"/>
    <n v="360"/>
    <n v="189"/>
    <n v="0.53"/>
    <x v="0"/>
    <n v="2"/>
    <n v="5"/>
    <x v="0"/>
  </r>
  <r>
    <x v="11"/>
    <n v="1800"/>
    <n v="2700"/>
    <n v="900"/>
    <n v="0.38"/>
    <x v="1"/>
    <n v="2"/>
    <n v="4.5"/>
    <x v="0"/>
  </r>
  <r>
    <x v="12"/>
    <n v="2025"/>
    <n v="3971"/>
    <n v="1946"/>
    <n v="0.49"/>
    <x v="0"/>
    <n v="3"/>
    <n v="5"/>
    <x v="0"/>
  </r>
  <r>
    <x v="13"/>
    <n v="1740"/>
    <n v="2356"/>
    <n v="616"/>
    <n v="0.26"/>
    <x v="1"/>
    <n v="5"/>
    <n v="4.8"/>
    <x v="0"/>
  </r>
  <r>
    <x v="14"/>
    <n v="1274"/>
    <n v="2800"/>
    <n v="1526"/>
    <n v="0.55000000000000004"/>
    <x v="0"/>
    <n v="5"/>
    <n v="4.8"/>
    <x v="0"/>
  </r>
  <r>
    <x v="15"/>
    <n v="1600"/>
    <n v="2929"/>
    <n v="1329"/>
    <n v="0.45"/>
    <x v="0"/>
    <n v="5"/>
    <n v="3.8"/>
    <x v="1"/>
  </r>
  <r>
    <x v="16"/>
    <n v="2999"/>
    <n v="3699"/>
    <n v="700"/>
    <n v="0.19"/>
    <x v="2"/>
    <n v="5"/>
    <n v="4.5999999999999996"/>
    <x v="0"/>
  </r>
  <r>
    <x v="17"/>
    <n v="3750"/>
    <n v="6143"/>
    <n v="2393"/>
    <n v="0.39"/>
    <x v="1"/>
    <n v="5"/>
    <n v="3"/>
    <x v="1"/>
  </r>
  <r>
    <x v="18"/>
    <n v="2300"/>
    <n v="3240"/>
    <n v="940"/>
    <n v="0.28999999999999998"/>
    <x v="1"/>
    <n v="5"/>
    <n v="3"/>
    <x v="1"/>
  </r>
  <r>
    <x v="19"/>
    <n v="509"/>
    <n v="899"/>
    <n v="390"/>
    <n v="0.43"/>
    <x v="0"/>
    <n v="5"/>
    <n v="3"/>
    <x v="1"/>
  </r>
  <r>
    <x v="20"/>
    <n v="501"/>
    <n v="860"/>
    <n v="359"/>
    <n v="0.42"/>
    <x v="0"/>
    <n v="6"/>
    <n v="4.5"/>
    <x v="0"/>
  </r>
  <r>
    <x v="21"/>
    <n v="880"/>
    <n v="1350"/>
    <n v="470"/>
    <n v="0.35"/>
    <x v="1"/>
    <n v="6"/>
    <n v="4"/>
    <x v="1"/>
  </r>
  <r>
    <x v="22"/>
    <n v="2170"/>
    <n v="2500"/>
    <n v="330"/>
    <n v="0.13"/>
    <x v="2"/>
    <n v="6"/>
    <n v="2.5"/>
    <x v="2"/>
  </r>
  <r>
    <x v="23"/>
    <n v="990"/>
    <n v="1814"/>
    <n v="824"/>
    <n v="0.45"/>
    <x v="0"/>
    <n v="6"/>
    <n v="2.2000000000000002"/>
    <x v="2"/>
  </r>
  <r>
    <x v="24"/>
    <n v="345"/>
    <n v="602"/>
    <n v="257"/>
    <n v="0.43"/>
    <x v="0"/>
    <n v="6"/>
    <n v="2.2999999999999998"/>
    <x v="2"/>
  </r>
  <r>
    <x v="25"/>
    <n v="968"/>
    <n v="1814"/>
    <n v="846"/>
    <n v="0.47"/>
    <x v="0"/>
    <n v="6"/>
    <n v="2.2000000000000002"/>
    <x v="2"/>
  </r>
  <r>
    <x v="26"/>
    <n v="1580"/>
    <n v="2499"/>
    <n v="919"/>
    <n v="0.37"/>
    <x v="1"/>
    <n v="7"/>
    <n v="4.7"/>
    <x v="0"/>
  </r>
  <r>
    <x v="27"/>
    <n v="2048"/>
    <n v="4500"/>
    <n v="2452"/>
    <n v="0.54"/>
    <x v="0"/>
    <n v="7"/>
    <n v="4.3"/>
    <x v="1"/>
  </r>
  <r>
    <x v="28"/>
    <n v="1000"/>
    <n v="2000"/>
    <n v="1000"/>
    <n v="0.5"/>
    <x v="0"/>
    <n v="7"/>
    <n v="2.2999999999999998"/>
    <x v="2"/>
  </r>
  <r>
    <x v="29"/>
    <n v="1570"/>
    <n v="2988"/>
    <n v="1418"/>
    <n v="0.47"/>
    <x v="0"/>
    <n v="7"/>
    <n v="2.1"/>
    <x v="2"/>
  </r>
  <r>
    <x v="30"/>
    <n v="1680"/>
    <n v="2499"/>
    <n v="819"/>
    <n v="0.33"/>
    <x v="1"/>
    <n v="9"/>
    <n v="4.2"/>
    <x v="1"/>
  </r>
  <r>
    <x v="31"/>
    <n v="185"/>
    <n v="382"/>
    <n v="197"/>
    <n v="0.52"/>
    <x v="0"/>
    <n v="9"/>
    <n v="4.3"/>
    <x v="1"/>
  </r>
  <r>
    <x v="32"/>
    <n v="1820"/>
    <n v="3490"/>
    <n v="1670"/>
    <n v="0.48"/>
    <x v="0"/>
    <n v="9"/>
    <n v="4.3"/>
    <x v="1"/>
  </r>
  <r>
    <x v="33"/>
    <n v="458"/>
    <n v="986"/>
    <n v="528"/>
    <n v="0.54"/>
    <x v="0"/>
    <n v="10"/>
    <n v="3"/>
    <x v="1"/>
  </r>
  <r>
    <x v="34"/>
    <n v="799"/>
    <n v="999"/>
    <n v="200"/>
    <n v="0.2"/>
    <x v="1"/>
    <n v="12"/>
    <n v="4.0999999999999996"/>
    <x v="1"/>
  </r>
  <r>
    <x v="35"/>
    <n v="552"/>
    <n v="1035"/>
    <n v="483"/>
    <n v="0.47"/>
    <x v="0"/>
    <n v="12"/>
    <n v="4.8"/>
    <x v="0"/>
  </r>
  <r>
    <x v="36"/>
    <n v="2880"/>
    <n v="3520"/>
    <n v="640"/>
    <n v="0.18"/>
    <x v="2"/>
    <n v="12"/>
    <n v="3.8"/>
    <x v="1"/>
  </r>
  <r>
    <x v="37"/>
    <n v="980"/>
    <n v="1490"/>
    <n v="510"/>
    <n v="0.34"/>
    <x v="1"/>
    <n v="12"/>
    <n v="4.7"/>
    <x v="0"/>
  </r>
  <r>
    <x v="38"/>
    <n v="38"/>
    <n v="80"/>
    <n v="42"/>
    <n v="0.53"/>
    <x v="0"/>
    <n v="13"/>
    <n v="3.3"/>
    <x v="1"/>
  </r>
  <r>
    <x v="39"/>
    <n v="1350"/>
    <n v="1990"/>
    <n v="640"/>
    <n v="0.32"/>
    <x v="1"/>
    <n v="13"/>
    <n v="3.8"/>
    <x v="1"/>
  </r>
  <r>
    <x v="40"/>
    <n v="2115"/>
    <n v="4700"/>
    <n v="2585"/>
    <n v="0.55000000000000004"/>
    <x v="0"/>
    <n v="13"/>
    <n v="2.1"/>
    <x v="2"/>
  </r>
  <r>
    <x v="41"/>
    <n v="527"/>
    <n v="999"/>
    <n v="472"/>
    <n v="0.47"/>
    <x v="0"/>
    <n v="14"/>
    <n v="4.0999999999999996"/>
    <x v="1"/>
  </r>
  <r>
    <x v="42"/>
    <n v="1650"/>
    <n v="2150"/>
    <n v="500"/>
    <n v="0.23"/>
    <x v="1"/>
    <n v="14"/>
    <n v="4.4000000000000004"/>
    <x v="1"/>
  </r>
  <r>
    <x v="43"/>
    <n v="2999"/>
    <n v="3290"/>
    <n v="291"/>
    <n v="0.09"/>
    <x v="2"/>
    <n v="15"/>
    <n v="4"/>
    <x v="1"/>
  </r>
  <r>
    <x v="44"/>
    <n v="325"/>
    <n v="680"/>
    <n v="355"/>
    <n v="0.52"/>
    <x v="0"/>
    <n v="15"/>
    <n v="2.7"/>
    <x v="2"/>
  </r>
  <r>
    <x v="45"/>
    <n v="1220"/>
    <n v="1555"/>
    <n v="335"/>
    <n v="0.22"/>
    <x v="1"/>
    <n v="16"/>
    <n v="2.9"/>
    <x v="2"/>
  </r>
  <r>
    <x v="46"/>
    <n v="382"/>
    <n v="700"/>
    <n v="318"/>
    <n v="0.45"/>
    <x v="0"/>
    <n v="17"/>
    <n v="2.6"/>
    <x v="2"/>
  </r>
  <r>
    <x v="47"/>
    <n v="1758"/>
    <n v="2499"/>
    <n v="741"/>
    <n v="0.3"/>
    <x v="1"/>
    <n v="20"/>
    <n v="4.0999999999999996"/>
    <x v="1"/>
  </r>
  <r>
    <x v="48"/>
    <n v="1940"/>
    <n v="2650"/>
    <n v="710"/>
    <n v="0.27"/>
    <x v="1"/>
    <n v="20"/>
    <n v="4.7"/>
    <x v="0"/>
  </r>
  <r>
    <x v="49"/>
    <n v="2199"/>
    <n v="2923"/>
    <n v="724"/>
    <n v="0.25"/>
    <x v="1"/>
    <n v="24"/>
    <n v="4.5999999999999996"/>
    <x v="0"/>
  </r>
  <r>
    <x v="50"/>
    <n v="1980"/>
    <n v="2699"/>
    <n v="719"/>
    <n v="0.27"/>
    <x v="1"/>
    <n v="32"/>
    <n v="4.5"/>
    <x v="0"/>
  </r>
  <r>
    <x v="51"/>
    <n v="389"/>
    <n v="656"/>
    <n v="267"/>
    <n v="0.41"/>
    <x v="0"/>
    <n v="36"/>
    <n v="4.3"/>
    <x v="1"/>
  </r>
  <r>
    <x v="52"/>
    <n v="990"/>
    <n v="1500"/>
    <n v="510"/>
    <n v="0.34"/>
    <x v="1"/>
    <n v="39"/>
    <n v="4.7"/>
    <x v="0"/>
  </r>
  <r>
    <x v="53"/>
    <n v="998"/>
    <n v="1966"/>
    <n v="968"/>
    <n v="0.49"/>
    <x v="0"/>
    <n v="44"/>
    <n v="4.5999999999999996"/>
    <x v="0"/>
  </r>
  <r>
    <x v="54"/>
    <n v="420"/>
    <n v="647"/>
    <n v="227"/>
    <n v="0.35"/>
    <x v="1"/>
    <n v="49"/>
    <n v="4.5999999999999996"/>
    <x v="0"/>
  </r>
  <r>
    <x v="55"/>
    <n v="2319"/>
    <n v="3032"/>
    <n v="713"/>
    <n v="0.24"/>
    <x v="1"/>
    <n v="55"/>
    <n v="4.5999999999999996"/>
    <x v="0"/>
  </r>
  <r>
    <x v="56"/>
    <n v="445"/>
    <n v="873"/>
    <n v="428"/>
    <n v="0.49"/>
    <x v="0"/>
    <n v="69"/>
    <n v="2.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0C530C-2C4A-4B1A-B901-34AD1A4C3DA4}"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5">
  <location ref="B163:C166" firstHeaderRow="1" firstDataRow="1" firstDataCol="1"/>
  <pivotFields count="9">
    <pivotField dataField="1" showAll="0"/>
    <pivotField showAll="0"/>
    <pivotField showAll="0"/>
    <pivotField showAll="0"/>
    <pivotField numFmtId="9" showAll="0"/>
    <pivotField axis="axisRow" showAll="0">
      <items count="4">
        <item x="0"/>
        <item x="2"/>
        <item x="1"/>
        <item t="default"/>
      </items>
    </pivotField>
    <pivotField showAll="0"/>
    <pivotField showAll="0"/>
    <pivotField showAll="0">
      <items count="4">
        <item x="1"/>
        <item x="0"/>
        <item x="2"/>
        <item t="default"/>
      </items>
    </pivotField>
  </pivotFields>
  <rowFields count="1">
    <field x="5"/>
  </rowFields>
  <rowItems count="3">
    <i>
      <x/>
    </i>
    <i>
      <x v="1"/>
    </i>
    <i>
      <x v="2"/>
    </i>
  </rowItems>
  <colItems count="1">
    <i/>
  </colItems>
  <dataFields count="1">
    <dataField name="Count of Product" fld="0"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D6514C-6BEB-47AC-AC04-E48CFFF4F7D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34:C138" firstHeaderRow="1" firstDataRow="1" firstDataCol="1"/>
  <pivotFields count="9">
    <pivotField showAll="0"/>
    <pivotField showAll="0"/>
    <pivotField showAll="0"/>
    <pivotField showAll="0"/>
    <pivotField numFmtId="9" showAll="0"/>
    <pivotField showAll="0"/>
    <pivotField showAll="0"/>
    <pivotField dataField="1" showAll="0"/>
    <pivotField axis="axisRow" showAll="0">
      <items count="4">
        <item x="1"/>
        <item x="0"/>
        <item x="2"/>
        <item t="default"/>
      </items>
    </pivotField>
  </pivotFields>
  <rowFields count="1">
    <field x="8"/>
  </rowFields>
  <rowItems count="4">
    <i>
      <x/>
    </i>
    <i>
      <x v="1"/>
    </i>
    <i>
      <x v="2"/>
    </i>
    <i t="grand">
      <x/>
    </i>
  </rowItems>
  <colItems count="1">
    <i/>
  </colItems>
  <dataFields count="1">
    <dataField name="Sum of Rating" fld="7"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E4D8F-E67D-4BE3-960A-C9B2F2246163}"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I2:J12" firstHeaderRow="1" firstDataRow="1" firstDataCol="1"/>
  <pivotFields count="9">
    <pivotField axis="axisRow" showAll="0" measureFilter="1" sortType="ascending">
      <items count="110">
        <item x="11"/>
        <item x="52"/>
        <item x="6"/>
        <item x="39"/>
        <item x="37"/>
        <item x="56"/>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showAll="0"/>
    <pivotField dataField="1" showAll="0"/>
    <pivotField showAll="0"/>
  </pivotFields>
  <rowFields count="1">
    <field x="0"/>
  </rowFields>
  <rowItems count="10">
    <i>
      <x v="22"/>
    </i>
    <i>
      <x v="90"/>
    </i>
    <i>
      <x v="70"/>
    </i>
    <i>
      <x v="57"/>
    </i>
    <i>
      <x v="68"/>
    </i>
    <i>
      <x v="44"/>
    </i>
    <i>
      <x v="65"/>
    </i>
    <i>
      <x v="87"/>
    </i>
    <i>
      <x v="40"/>
    </i>
    <i>
      <x v="52"/>
    </i>
  </rowItems>
  <colItems count="1">
    <i/>
  </colItems>
  <dataFields count="1">
    <dataField name="Sum of Rating" fld="7" baseField="0" baseItem="0"/>
  </dataFields>
  <formats count="1">
    <format dxfId="12">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F4BB39-0104-4DE5-AC47-AB74241CAA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74:C182" firstHeaderRow="1" firstDataRow="1" firstDataCol="1"/>
  <pivotFields count="9">
    <pivotField axis="axisRow" showAll="0" measureFilter="1">
      <items count="110">
        <item x="11"/>
        <item x="52"/>
        <item x="6"/>
        <item x="39"/>
        <item x="37"/>
        <item x="56"/>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t="default"/>
      </items>
    </pivotField>
    <pivotField showAll="0"/>
    <pivotField showAll="0"/>
    <pivotField showAll="0"/>
    <pivotField numFmtId="9" showAll="0"/>
    <pivotField showAll="0"/>
    <pivotField showAll="0"/>
    <pivotField dataField="1" showAll="0"/>
    <pivotField showAll="0"/>
  </pivotFields>
  <rowFields count="1">
    <field x="0"/>
  </rowFields>
  <rowItems count="8">
    <i>
      <x v="40"/>
    </i>
    <i>
      <x v="44"/>
    </i>
    <i>
      <x v="52"/>
    </i>
    <i>
      <x v="57"/>
    </i>
    <i>
      <x v="65"/>
    </i>
    <i>
      <x v="68"/>
    </i>
    <i>
      <x v="87"/>
    </i>
    <i t="grand">
      <x/>
    </i>
  </rowItems>
  <colItems count="1">
    <i/>
  </colItems>
  <dataFields count="1">
    <dataField name="Sum of Rating" fld="7" baseField="0" baseItem="0"/>
  </dataFields>
  <formats count="1">
    <format dxfId="13">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47ECF4-E0D9-4927-A23D-B615100B54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9">
    <pivotField showAll="0"/>
    <pivotField showAll="0"/>
    <pivotField showAll="0"/>
    <pivotField showAll="0"/>
    <pivotField dataField="1" numFmtId="9" showAll="0"/>
    <pivotField showAll="0"/>
    <pivotField showAll="0"/>
    <pivotField showAll="0"/>
    <pivotField showAll="0"/>
  </pivotFields>
  <rowItems count="1">
    <i/>
  </rowItems>
  <colItems count="1">
    <i/>
  </colItems>
  <dataFields count="1">
    <dataField name="Average of Discount %" fld="4" subtotal="average" baseField="0" baseItem="0" numFmtId="9"/>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5B7CCE-1855-4664-B58A-C2AE2A81D8A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72" firstHeaderRow="1" firstDataRow="1" firstDataCol="1"/>
  <pivotFields count="9">
    <pivotField axis="axisRow" showAll="0" sortType="descending">
      <items count="110">
        <item x="11"/>
        <item x="52"/>
        <item x="6"/>
        <item x="39"/>
        <item x="37"/>
        <item x="56"/>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9" showAll="0"/>
    <pivotField showAll="0"/>
    <pivotField showAll="0"/>
    <pivotField showAll="0"/>
    <pivotField showAll="0"/>
  </pivotFields>
  <rowFields count="1">
    <field x="0"/>
  </rowFields>
  <rowItems count="58">
    <i>
      <x v="16"/>
    </i>
    <i>
      <x v="65"/>
    </i>
    <i>
      <x v="11"/>
    </i>
    <i>
      <x v="75"/>
    </i>
    <i>
      <x v="93"/>
    </i>
    <i>
      <x v="8"/>
    </i>
    <i>
      <x v="66"/>
    </i>
    <i>
      <x v="91"/>
    </i>
    <i>
      <x v="25"/>
    </i>
    <i>
      <x v="30"/>
    </i>
    <i>
      <x v="67"/>
    </i>
    <i>
      <x v="68"/>
    </i>
    <i>
      <x v="27"/>
    </i>
    <i>
      <x v="28"/>
    </i>
    <i>
      <x v="72"/>
    </i>
    <i>
      <x/>
    </i>
    <i>
      <x v="26"/>
    </i>
    <i>
      <x v="90"/>
    </i>
    <i>
      <x v="80"/>
    </i>
    <i>
      <x v="61"/>
    </i>
    <i>
      <x v="57"/>
    </i>
    <i>
      <x v="7"/>
    </i>
    <i>
      <x v="107"/>
    </i>
    <i>
      <x v="58"/>
    </i>
    <i>
      <x v="3"/>
    </i>
    <i>
      <x v="70"/>
    </i>
    <i>
      <x v="101"/>
    </i>
    <i>
      <x v="76"/>
    </i>
    <i>
      <x v="17"/>
    </i>
    <i>
      <x v="18"/>
    </i>
    <i>
      <x v="1"/>
    </i>
    <i>
      <x v="41"/>
    </i>
    <i>
      <x v="56"/>
    </i>
    <i>
      <x v="4"/>
    </i>
    <i>
      <x v="44"/>
    </i>
    <i>
      <x v="35"/>
    </i>
    <i>
      <x v="2"/>
    </i>
    <i>
      <x v="73"/>
    </i>
    <i>
      <x v="62"/>
    </i>
    <i>
      <x v="22"/>
    </i>
    <i>
      <x v="77"/>
    </i>
    <i>
      <x v="108"/>
    </i>
    <i>
      <x v="69"/>
    </i>
    <i>
      <x v="84"/>
    </i>
    <i>
      <x v="104"/>
    </i>
    <i>
      <x v="5"/>
    </i>
    <i>
      <x v="59"/>
    </i>
    <i>
      <x v="95"/>
    </i>
    <i>
      <x v="38"/>
    </i>
    <i>
      <x v="106"/>
    </i>
    <i>
      <x v="40"/>
    </i>
    <i>
      <x v="63"/>
    </i>
    <i>
      <x v="64"/>
    </i>
    <i>
      <x v="87"/>
    </i>
    <i>
      <x v="60"/>
    </i>
    <i>
      <x v="52"/>
    </i>
    <i>
      <x v="20"/>
    </i>
    <i t="grand">
      <x/>
    </i>
  </rowItems>
  <colItems count="1">
    <i/>
  </colItems>
  <dataFields count="1">
    <dataField name="Sum of Current price" fld="1"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A993A0-867D-4DC5-BD76-4B05BD7E8D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1:B12" firstHeaderRow="1" firstDataRow="1" firstDataCol="0"/>
  <pivotFields count="9">
    <pivotField showAll="0"/>
    <pivotField showAll="0"/>
    <pivotField showAll="0"/>
    <pivotField showAll="0"/>
    <pivotField numFmtId="9" showAll="0"/>
    <pivotField showAll="0"/>
    <pivotField showAll="0"/>
    <pivotField dataField="1" showAll="0"/>
    <pivotField showAll="0"/>
  </pivotFields>
  <rowItems count="1">
    <i/>
  </rowItems>
  <colItems count="1">
    <i/>
  </colItems>
  <dataFields count="1">
    <dataField name="Average of Rating" fld="7" subtotal="average"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6A21B5-9FE4-46A6-A9B9-493CB19E9DD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9">
    <pivotField dataField="1" showAll="0"/>
    <pivotField showAll="0"/>
    <pivotField showAll="0"/>
    <pivotField showAll="0"/>
    <pivotField numFmtId="9" showAll="0"/>
    <pivotField showAll="0"/>
    <pivotField showAll="0"/>
    <pivotField showAll="0"/>
    <pivotField showAll="0"/>
  </pivotFields>
  <rowItems count="1">
    <i/>
  </rowItems>
  <colItems count="1">
    <i/>
  </colItems>
  <dataFields count="1">
    <dataField name="Count of Product" fld="0" subtotal="count"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69F3D7-BE47-458C-A813-FD4A0509616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B148:C152" firstHeaderRow="1" firstDataRow="1" firstDataCol="1"/>
  <pivotFields count="9">
    <pivotField showAll="0"/>
    <pivotField showAll="0"/>
    <pivotField showAll="0"/>
    <pivotField showAll="0"/>
    <pivotField numFmtId="9" showAll="0"/>
    <pivotField axis="axisRow" showAll="0">
      <items count="4">
        <item x="0"/>
        <item x="2"/>
        <item x="1"/>
        <item t="default"/>
      </items>
    </pivotField>
    <pivotField dataField="1" showAll="0"/>
    <pivotField showAll="0"/>
    <pivotField showAll="0"/>
  </pivotFields>
  <rowFields count="1">
    <field x="5"/>
  </rowFields>
  <rowItems count="4">
    <i>
      <x/>
    </i>
    <i>
      <x v="1"/>
    </i>
    <i>
      <x v="2"/>
    </i>
    <i t="grand">
      <x/>
    </i>
  </rowItems>
  <colItems count="1">
    <i/>
  </colItems>
  <dataFields count="1">
    <dataField name="Count of Review" fld="6" subtotal="count" baseField="5" baseItem="0"/>
  </dataFields>
  <formats count="1">
    <format dxfId="18">
      <pivotArea outline="0" collapsedLevelsAreSubtotals="1" fieldPosition="0"/>
    </format>
  </formats>
  <chartFormats count="3">
    <chartFormat chart="34" format="1"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0C985A-C42C-417C-A61D-D43BDE8223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9">
    <pivotField showAll="0"/>
    <pivotField showAll="0"/>
    <pivotField dataField="1" showAll="0"/>
    <pivotField showAll="0"/>
    <pivotField numFmtId="9" showAll="0"/>
    <pivotField showAll="0"/>
    <pivotField showAll="0"/>
    <pivotField showAll="0"/>
    <pivotField showAll="0"/>
  </pivotFields>
  <rowItems count="1">
    <i/>
  </rowItems>
  <colItems count="1">
    <i/>
  </colItems>
  <dataFields count="1">
    <dataField name="Average of old price" fld="2" subtotal="average"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337DC5-3A33-443D-A16C-3F4C934C6E9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9">
    <pivotField showAll="0"/>
    <pivotField showAll="0"/>
    <pivotField showAll="0"/>
    <pivotField showAll="0"/>
    <pivotField numFmtId="9" showAll="0"/>
    <pivotField showAll="0"/>
    <pivotField dataField="1" showAll="0"/>
    <pivotField showAll="0"/>
    <pivotField showAll="0"/>
  </pivotFields>
  <rowItems count="1">
    <i/>
  </rowItems>
  <colItems count="1">
    <i/>
  </colItems>
  <dataFields count="1">
    <dataField name="Count of Review" fld="6" subtotal="count"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884C1A-7900-4019-BF33-70B801393A8A}"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L3:M13" firstHeaderRow="1" firstDataRow="1" firstDataCol="1"/>
  <pivotFields count="9">
    <pivotField axis="axisRow" showAll="0" measureFilter="1" sortType="ascending">
      <items count="110">
        <item x="11"/>
        <item x="52"/>
        <item x="6"/>
        <item x="39"/>
        <item x="37"/>
        <item x="56"/>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9" showAll="0"/>
    <pivotField showAll="0"/>
    <pivotField showAll="0"/>
    <pivotField showAll="0"/>
    <pivotField showAll="0"/>
  </pivotFields>
  <rowFields count="1">
    <field x="0"/>
  </rowFields>
  <rowItems count="10">
    <i>
      <x v="76"/>
    </i>
    <i>
      <x v="57"/>
    </i>
    <i>
      <x v="7"/>
    </i>
    <i>
      <x v="58"/>
    </i>
    <i>
      <x v="70"/>
    </i>
    <i>
      <x v="72"/>
    </i>
    <i>
      <x v="68"/>
    </i>
    <i>
      <x v="16"/>
    </i>
    <i>
      <x v="67"/>
    </i>
    <i>
      <x v="30"/>
    </i>
  </rowItems>
  <colItems count="1">
    <i/>
  </colItems>
  <dataFields count="1">
    <dataField name="Sum of Discount Amount(Ksh)" fld="3" baseField="0" baseItem="0"/>
  </dataFields>
  <formats count="1">
    <format dxfId="21">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FCE235-7713-40F1-9FA9-5CDA6F61D8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9">
    <pivotField showAll="0"/>
    <pivotField dataField="1" showAll="0"/>
    <pivotField showAll="0"/>
    <pivotField showAll="0"/>
    <pivotField numFmtId="9" showAll="0"/>
    <pivotField showAll="0"/>
    <pivotField showAll="0"/>
    <pivotField showAll="0"/>
    <pivotField showAll="0"/>
  </pivotFields>
  <rowItems count="1">
    <i/>
  </rowItems>
  <colItems count="1">
    <i/>
  </colItems>
  <dataFields count="1">
    <dataField name="Average of Current price" fld="1" subtotal="average"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371A76-50DD-4E08-9EF7-9BC9DE724A71}"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7">
  <location ref="B157:C160" firstHeaderRow="1" firstDataRow="1" firstDataCol="1"/>
  <pivotFields count="9">
    <pivotField dataField="1" showAll="0"/>
    <pivotField showAll="0"/>
    <pivotField showAll="0"/>
    <pivotField showAll="0"/>
    <pivotField numFmtId="9" showAll="0"/>
    <pivotField showAll="0"/>
    <pivotField showAll="0"/>
    <pivotField showAll="0"/>
    <pivotField axis="axisRow" showAll="0">
      <items count="4">
        <item x="1"/>
        <item x="0"/>
        <item x="2"/>
        <item t="default"/>
      </items>
    </pivotField>
  </pivotFields>
  <rowFields count="1">
    <field x="8"/>
  </rowFields>
  <rowItems count="3">
    <i>
      <x/>
    </i>
    <i>
      <x v="1"/>
    </i>
    <i>
      <x v="2"/>
    </i>
  </rowItems>
  <colItems count="1">
    <i/>
  </colItems>
  <dataFields count="1">
    <dataField name="Count of Product" fld="0" subtotal="count" baseField="0" baseItem="0"/>
  </dataFields>
  <formats count="1">
    <format dxfId="23">
      <pivotArea outline="0" collapsedLevelsAreSubtotals="1" fieldPosition="0"/>
    </format>
  </formats>
  <chartFormats count="9">
    <chartFormat chart="95" format="0" series="1">
      <pivotArea type="data" outline="0" fieldPosition="0">
        <references count="1">
          <reference field="4294967294" count="1" selected="0">
            <x v="0"/>
          </reference>
        </references>
      </pivotArea>
    </chartFormat>
    <chartFormat chart="99" format="5" series="1">
      <pivotArea type="data" outline="0" fieldPosition="0">
        <references count="1">
          <reference field="4294967294" count="1" selected="0">
            <x v="0"/>
          </reference>
        </references>
      </pivotArea>
    </chartFormat>
    <chartFormat chart="99" format="6">
      <pivotArea type="data" outline="0" fieldPosition="0">
        <references count="2">
          <reference field="4294967294" count="1" selected="0">
            <x v="0"/>
          </reference>
          <reference field="8" count="1" selected="0">
            <x v="0"/>
          </reference>
        </references>
      </pivotArea>
    </chartFormat>
    <chartFormat chart="99" format="7">
      <pivotArea type="data" outline="0" fieldPosition="0">
        <references count="2">
          <reference field="4294967294" count="1" selected="0">
            <x v="0"/>
          </reference>
          <reference field="8" count="1" selected="0">
            <x v="1"/>
          </reference>
        </references>
      </pivotArea>
    </chartFormat>
    <chartFormat chart="99" format="8">
      <pivotArea type="data" outline="0" fieldPosition="0">
        <references count="2">
          <reference field="4294967294" count="1" selected="0">
            <x v="0"/>
          </reference>
          <reference field="8" count="1" selected="0">
            <x v="2"/>
          </reference>
        </references>
      </pivotArea>
    </chartFormat>
    <chartFormat chart="103" format="0" series="1">
      <pivotArea type="data" outline="0" fieldPosition="0">
        <references count="1">
          <reference field="4294967294" count="1" selected="0">
            <x v="0"/>
          </reference>
        </references>
      </pivotArea>
    </chartFormat>
    <chartFormat chart="104" format="1" series="1">
      <pivotArea type="data" outline="0" fieldPosition="0">
        <references count="1">
          <reference field="4294967294" count="1" selected="0">
            <x v="0"/>
          </reference>
        </references>
      </pivotArea>
    </chartFormat>
    <chartFormat chart="105" format="2" series="1">
      <pivotArea type="data" outline="0" fieldPosition="0">
        <references count="1">
          <reference field="4294967294" count="1" selected="0">
            <x v="0"/>
          </reference>
        </references>
      </pivotArea>
    </chartFormat>
    <chartFormat chart="10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CC90C9-D7F9-41CD-BA1A-2DFA795A73D8}"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2">
  <location ref="B168:C171" firstHeaderRow="1" firstDataRow="1" firstDataCol="1"/>
  <pivotFields count="9">
    <pivotField showAll="0"/>
    <pivotField showAll="0"/>
    <pivotField showAll="0"/>
    <pivotField showAll="0"/>
    <pivotField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1"/>
        <item x="0"/>
        <item x="2"/>
        <item t="default"/>
      </items>
    </pivotField>
  </pivotFields>
  <rowFields count="1">
    <field x="5"/>
  </rowFields>
  <rowItems count="3">
    <i>
      <x/>
    </i>
    <i>
      <x v="2"/>
    </i>
    <i>
      <x v="1"/>
    </i>
  </rowItems>
  <colItems count="1">
    <i/>
  </colItems>
  <dataFields count="1">
    <dataField name="Count of Review" fld="6" subtotal="count" baseField="5" baseItem="2"/>
  </dataFields>
  <formats count="1">
    <format dxfId="24">
      <pivotArea outline="0" collapsedLevelsAreSubtotals="1" fieldPosition="0"/>
    </format>
  </formats>
  <chartFormats count="1">
    <chartFormat chart="8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EC6502-BA47-467F-A8EC-BBB2DADAA7C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84:C190" firstHeaderRow="1" firstDataRow="1" firstDataCol="1"/>
  <pivotFields count="9">
    <pivotField axis="axisRow" showAll="0" measureFilter="1" sortType="ascending">
      <items count="110">
        <item x="11"/>
        <item x="52"/>
        <item x="6"/>
        <item x="39"/>
        <item x="37"/>
        <item x="56"/>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showAll="0"/>
    <pivotField dataField="1" showAll="0"/>
    <pivotField showAll="0"/>
  </pivotFields>
  <rowFields count="1">
    <field x="0"/>
  </rowFields>
  <rowItems count="6">
    <i>
      <x v="104"/>
    </i>
    <i>
      <x v="30"/>
    </i>
    <i>
      <x v="58"/>
    </i>
    <i>
      <x v="41"/>
    </i>
    <i>
      <x v="35"/>
    </i>
    <i t="grand">
      <x/>
    </i>
  </rowItems>
  <colItems count="1">
    <i/>
  </colItems>
  <dataFields count="1">
    <dataField name="Sum of Rating" fld="7" baseField="0" baseItem="0"/>
  </dataFields>
  <formats count="1">
    <format dxfId="25">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DE53917-AF85-4133-9621-1A6837026D95}"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E13:F23" firstHeaderRow="1" firstDataRow="1" firstDataCol="1"/>
  <pivotFields count="9">
    <pivotField axis="axisRow" showAll="0" measureFilter="1" sortType="ascending" defaultSubtotal="0">
      <items count="109">
        <item x="11"/>
        <item x="52"/>
        <item x="6"/>
        <item x="39"/>
        <item x="37"/>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x="56"/>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numFmtId="9" showAll="0" defaultSubtotal="0"/>
    <pivotField showAll="0" defaultSubtotal="0"/>
    <pivotField dataField="1" showAll="0" defaultSubtotal="0"/>
    <pivotField showAll="0" defaultSubtotal="0"/>
    <pivotField showAll="0" defaultSubtotal="0"/>
  </pivotFields>
  <rowFields count="1">
    <field x="0"/>
  </rowFields>
  <rowItems count="10">
    <i>
      <x v="25"/>
    </i>
    <i>
      <x v="27"/>
    </i>
    <i>
      <x v="90"/>
    </i>
    <i>
      <x v="26"/>
    </i>
    <i>
      <x v="94"/>
    </i>
    <i>
      <x v="1"/>
    </i>
    <i>
      <x v="17"/>
    </i>
    <i>
      <x v="58"/>
    </i>
    <i>
      <x v="7"/>
    </i>
    <i>
      <x v="108"/>
    </i>
  </rowItems>
  <colItems count="1">
    <i/>
  </colItems>
  <dataFields count="1">
    <dataField name="Sum of Review" fld="6" baseField="0" baseItem="1"/>
  </dataFields>
  <formats count="5">
    <format dxfId="30">
      <pivotArea outline="0" collapsedLevelsAreSubtotals="1" fieldPosition="0"/>
    </format>
    <format dxfId="29">
      <pivotArea dataOnly="0" labelOnly="1" fieldPosition="0">
        <references count="1">
          <reference field="0" count="0"/>
        </references>
      </pivotArea>
    </format>
    <format dxfId="28">
      <pivotArea outline="0" collapsedLevelsAreSubtotals="1" fieldPosition="0"/>
    </format>
    <format dxfId="27">
      <pivotArea dataOnly="0" labelOnly="1" fieldPosition="0">
        <references count="1">
          <reference field="0" count="3">
            <x v="7"/>
            <x v="58"/>
            <x v="108"/>
          </reference>
        </references>
      </pivotArea>
    </format>
    <format dxfId="26">
      <pivotArea dataOnly="0" labelOnly="1" fieldPosition="0">
        <references count="1">
          <reference field="0" count="0"/>
        </references>
      </pivotArea>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A36A9CB-216E-4D59-816A-A5A554E8F7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B140:D144" firstHeaderRow="0" firstDataRow="1" firstDataCol="1"/>
  <pivotFields count="9">
    <pivotField showAll="0"/>
    <pivotField showAll="0"/>
    <pivotField showAll="0"/>
    <pivotField showAll="0"/>
    <pivotField dataField="1" numFmtId="9" showAll="0"/>
    <pivotField axis="axisRow" showAll="0" sortType="ascending">
      <items count="4">
        <item x="0"/>
        <item x="2"/>
        <item x="1"/>
        <item t="default"/>
      </items>
    </pivotField>
    <pivotField dataField="1" showAll="0"/>
    <pivotField showAll="0"/>
    <pivotField showAll="0"/>
  </pivotFields>
  <rowFields count="1">
    <field x="5"/>
  </rowFields>
  <rowItems count="4">
    <i>
      <x/>
    </i>
    <i>
      <x v="1"/>
    </i>
    <i>
      <x v="2"/>
    </i>
    <i t="grand">
      <x/>
    </i>
  </rowItems>
  <colFields count="1">
    <field x="-2"/>
  </colFields>
  <colItems count="2">
    <i>
      <x/>
    </i>
    <i i="1">
      <x v="1"/>
    </i>
  </colItems>
  <dataFields count="2">
    <dataField name="Sum of Discount %" fld="4" baseField="5" baseItem="0" numFmtId="9"/>
    <dataField name="Count of Review" fld="6" subtotal="count" baseField="5"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4788C9E-C0EA-4EFD-8130-4EF0B56E71C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27:D131" firstHeaderRow="0" firstDataRow="1" firstDataCol="1"/>
  <pivotFields count="9">
    <pivotField showAll="0"/>
    <pivotField showAll="0"/>
    <pivotField showAll="0"/>
    <pivotField dataField="1" showAll="0"/>
    <pivotField numFmtId="9" showAll="0"/>
    <pivotField axis="axisRow" showAll="0">
      <items count="4">
        <item x="0"/>
        <item x="2"/>
        <item x="1"/>
        <item t="default"/>
      </items>
    </pivotField>
    <pivotField showAll="0"/>
    <pivotField dataField="1" showAll="0"/>
    <pivotField showAll="0"/>
  </pivotFields>
  <rowFields count="1">
    <field x="5"/>
  </rowFields>
  <rowItems count="4">
    <i>
      <x/>
    </i>
    <i>
      <x v="1"/>
    </i>
    <i>
      <x v="2"/>
    </i>
    <i t="grand">
      <x/>
    </i>
  </rowItems>
  <colFields count="1">
    <field x="-2"/>
  </colFields>
  <colItems count="2">
    <i>
      <x/>
    </i>
    <i i="1">
      <x v="1"/>
    </i>
  </colItems>
  <dataFields count="2">
    <dataField name="Average of Rating" fld="7" subtotal="average" baseField="5" baseItem="0"/>
    <dataField name="Average of Discount Amount(Ksh)" fld="3" subtotal="average" baseField="5"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3B45C46-5FDF-4EC2-B776-2EE1A3B628E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B4:E8" firstHeaderRow="0" firstDataRow="1" firstDataCol="1" rowPageCount="1" colPageCount="1"/>
  <pivotFields count="9">
    <pivotField axis="axisRow" showAll="0">
      <items count="110">
        <item x="11"/>
        <item x="52"/>
        <item x="6"/>
        <item x="39"/>
        <item x="37"/>
        <item x="56"/>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t="default"/>
      </items>
    </pivotField>
    <pivotField dataField="1" showAll="0"/>
    <pivotField dataField="1" showAll="0"/>
    <pivotField dataField="1" showAll="0"/>
    <pivotField numFmtId="9" showAll="0"/>
    <pivotField axis="axisPage" multipleItemSelectionAllowed="1" showAll="0" sortType="ascending">
      <items count="4">
        <item h="1" x="0"/>
        <item x="2"/>
        <item h="1" x="1"/>
        <item t="default"/>
      </items>
    </pivotField>
    <pivotField showAll="0"/>
    <pivotField showAll="0"/>
    <pivotField showAll="0"/>
  </pivotFields>
  <rowFields count="1">
    <field x="0"/>
  </rowFields>
  <rowItems count="4">
    <i>
      <x v="11"/>
    </i>
    <i>
      <x v="25"/>
    </i>
    <i>
      <x v="75"/>
    </i>
    <i>
      <x v="93"/>
    </i>
  </rowItems>
  <colFields count="1">
    <field x="-2"/>
  </colFields>
  <colItems count="3">
    <i>
      <x/>
    </i>
    <i i="1">
      <x v="1"/>
    </i>
    <i i="2">
      <x v="2"/>
    </i>
  </colItems>
  <pageFields count="1">
    <pageField fld="5" hier="-1"/>
  </pageFields>
  <dataFields count="3">
    <dataField name="Sum of Current price" fld="1" baseField="0" baseItem="0"/>
    <dataField name="Sum of old price" fld="2" baseField="0" baseItem="0"/>
    <dataField name="Sum of Discount Amount(Ksh)" fld="3" baseField="0" baseItem="0"/>
  </dataFields>
  <formats count="4">
    <format dxfId="9">
      <pivotArea outline="0" collapsedLevelsAreSubtotals="1" fieldPosition="0"/>
    </format>
    <format dxfId="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
      <pivotArea dataOnly="0" labelOnly="1" fieldPosition="0">
        <references count="1">
          <reference field="0" count="9">
            <x v="100"/>
            <x v="101"/>
            <x v="102"/>
            <x v="103"/>
            <x v="104"/>
            <x v="105"/>
            <x v="106"/>
            <x v="107"/>
            <x v="108"/>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0AE2C48-FD96-47CF-87A5-305A13F3336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B8:E22" firstHeaderRow="1" firstDataRow="3" firstDataCol="1"/>
  <pivotFields count="9">
    <pivotField axis="axisRow" showAll="0">
      <items count="110">
        <item x="11"/>
        <item x="52"/>
        <item x="6"/>
        <item x="39"/>
        <item x="37"/>
        <item x="56"/>
        <item m="1" x="77"/>
        <item x="15"/>
        <item x="55"/>
        <item m="1" x="102"/>
        <item m="1" x="83"/>
        <item x="43"/>
        <item m="1" x="101"/>
        <item m="1" x="93"/>
        <item m="1" x="67"/>
        <item m="1" x="78"/>
        <item x="17"/>
        <item x="28"/>
        <item x="53"/>
        <item m="1" x="79"/>
        <item x="38"/>
        <item m="1" x="96"/>
        <item x="35"/>
        <item m="1" x="60"/>
        <item m="1" x="57"/>
        <item x="22"/>
        <item x="47"/>
        <item x="50"/>
        <item x="48"/>
        <item m="1" x="82"/>
        <item x="40"/>
        <item m="1" x="107"/>
        <item m="1" x="92"/>
        <item m="1" x="65"/>
        <item m="1" x="81"/>
        <item x="25"/>
        <item m="1" x="99"/>
        <item m="1" x="100"/>
        <item x="46"/>
        <item m="1" x="76"/>
        <item x="8"/>
        <item x="23"/>
        <item m="1" x="98"/>
        <item m="1" x="62"/>
        <item x="2"/>
        <item m="1" x="108"/>
        <item m="1" x="69"/>
        <item m="1" x="66"/>
        <item m="1" x="85"/>
        <item m="1" x="104"/>
        <item m="1" x="64"/>
        <item m="1" x="75"/>
        <item x="10"/>
        <item m="1" x="68"/>
        <item m="1" x="80"/>
        <item m="1" x="73"/>
        <item x="7"/>
        <item x="0"/>
        <item x="29"/>
        <item x="54"/>
        <item x="31"/>
        <item x="42"/>
        <item x="34"/>
        <item x="3"/>
        <item x="44"/>
        <item x="4"/>
        <item x="18"/>
        <item x="27"/>
        <item x="12"/>
        <item x="20"/>
        <item x="14"/>
        <item m="1" x="59"/>
        <item x="32"/>
        <item x="21"/>
        <item m="1" x="103"/>
        <item x="16"/>
        <item x="1"/>
        <item x="41"/>
        <item m="1" x="97"/>
        <item m="1" x="61"/>
        <item x="30"/>
        <item m="1" x="88"/>
        <item m="1" x="58"/>
        <item m="1" x="72"/>
        <item x="33"/>
        <item m="1" x="84"/>
        <item m="1" x="86"/>
        <item x="9"/>
        <item m="1" x="70"/>
        <item m="1" x="71"/>
        <item x="13"/>
        <item x="49"/>
        <item m="1" x="95"/>
        <item x="36"/>
        <item m="1" x="90"/>
        <item x="51"/>
        <item m="1" x="91"/>
        <item m="1" x="63"/>
        <item m="1" x="105"/>
        <item m="1" x="74"/>
        <item m="1" x="106"/>
        <item x="45"/>
        <item m="1" x="89"/>
        <item m="1" x="94"/>
        <item x="5"/>
        <item m="1" x="87"/>
        <item x="24"/>
        <item x="26"/>
        <item x="19"/>
        <item t="default"/>
      </items>
    </pivotField>
    <pivotField dataField="1" showAll="0"/>
    <pivotField dataField="1" showAll="0"/>
    <pivotField dataField="1" showAll="0"/>
    <pivotField numFmtId="9" showAll="0"/>
    <pivotField showAll="0" sortType="ascending"/>
    <pivotField showAll="0"/>
    <pivotField showAll="0"/>
    <pivotField axis="axisCol" showAll="0">
      <items count="4">
        <item h="1" x="1"/>
        <item h="1" x="0"/>
        <item x="2"/>
        <item t="default"/>
      </items>
    </pivotField>
  </pivotFields>
  <rowFields count="1">
    <field x="0"/>
  </rowFields>
  <rowItems count="12">
    <i>
      <x v="5"/>
    </i>
    <i>
      <x v="17"/>
    </i>
    <i>
      <x v="25"/>
    </i>
    <i>
      <x v="30"/>
    </i>
    <i>
      <x v="35"/>
    </i>
    <i>
      <x v="38"/>
    </i>
    <i>
      <x v="41"/>
    </i>
    <i>
      <x v="58"/>
    </i>
    <i>
      <x v="64"/>
    </i>
    <i>
      <x v="101"/>
    </i>
    <i>
      <x v="104"/>
    </i>
    <i>
      <x v="106"/>
    </i>
  </rowItems>
  <colFields count="2">
    <field x="8"/>
    <field x="-2"/>
  </colFields>
  <colItems count="3">
    <i>
      <x v="2"/>
      <x/>
    </i>
    <i r="1" i="1">
      <x v="1"/>
    </i>
    <i r="1" i="2">
      <x v="2"/>
    </i>
  </colItems>
  <dataFields count="3">
    <dataField name="Sum of Current price" fld="1" baseField="0" baseItem="16"/>
    <dataField name="Sum of Discount Amount(Ksh)" fld="3" baseField="0" baseItem="0"/>
    <dataField name="Sum of old price" fld="2" baseField="0" baseItem="0"/>
  </dataFields>
  <formats count="4">
    <format dxfId="5">
      <pivotArea outline="0" collapsedLevelsAreSubtotals="1" fieldPosition="0"/>
    </format>
    <format dxfId="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
      <pivotArea dataOnly="0" labelOnly="1" fieldPosition="0">
        <references count="1">
          <reference field="0" count="9">
            <x v="100"/>
            <x v="101"/>
            <x v="102"/>
            <x v="103"/>
            <x v="104"/>
            <x v="105"/>
            <x v="106"/>
            <x v="107"/>
            <x v="108"/>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C87DC30-DA79-40EA-BA1E-A02DFFFD451C}" sourceName="Rating Category">
  <pivotTables>
    <pivotTable tabId="3" name="PivotTable23"/>
    <pivotTable tabId="3" name="PivotTable24"/>
    <pivotTable tabId="3" name="PivotTable25"/>
  </pivotTables>
  <data>
    <tabular pivotCacheId="8444910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1" xr10:uid="{F10806C0-F7F8-4811-BAF2-72050E7EDF77}" sourceName="Rating Category">
  <pivotTables>
    <pivotTable tabId="8" name="PivotTable3"/>
  </pivotTables>
  <data>
    <tabular pivotCacheId="844491076">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3F37B968-7DD4-4821-A1E2-5C563708C020}"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E32BFDAE-6806-43D5-97AF-82476C7DD6DA}" cache="Slicer_Rating_Category1" caption="Rating Category" columnCount="3"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33B8BD-DC97-45B6-8AC5-AFBDBC1A2CB3}" name="JumiaTable" displayName="JumiaTable" ref="A2:I59" totalsRowShown="0">
  <autoFilter ref="A2:I59" xr:uid="{9433B8BD-DC97-45B6-8AC5-AFBDBC1A2CB3}"/>
  <sortState xmlns:xlrd2="http://schemas.microsoft.com/office/spreadsheetml/2017/richdata2" ref="A3:I59">
    <sortCondition ref="G2:G59"/>
  </sortState>
  <tableColumns count="9">
    <tableColumn id="1" xr3:uid="{7450D09C-9877-4C6D-8BED-840DC7CC0407}" name="Product"/>
    <tableColumn id="2" xr3:uid="{422C8298-905C-4B90-A612-9E50879D0DBF}" name="Current price" dataDxfId="39"/>
    <tableColumn id="3" xr3:uid="{615A02DE-50DF-47D9-9752-C122A14F3A9C}" name="old price" dataDxfId="38"/>
    <tableColumn id="8" xr3:uid="{56690DD9-A2B7-4845-85F6-9E4035D3A7B2}" name="Discount Amount(Ksh)" dataDxfId="37">
      <calculatedColumnFormula>JumiaTable[[#This Row],[old price]]-JumiaTable[[#This Row],[Current price]]</calculatedColumnFormula>
    </tableColumn>
    <tableColumn id="4" xr3:uid="{E29B51F4-6D06-4A54-8D72-871AFDB6927B}" name="Discount %" dataDxfId="36"/>
    <tableColumn id="13" xr3:uid="{590B2368-0EC4-4330-BECB-2400A334E4E1}" name="Discount Category" dataDxfId="35">
      <calculatedColumnFormula array="1">_xlfn.IFS(JumiaTable[[#This Row],[Discount %]]&lt;20%, "Low Discount", JumiaTable[[#This Row],[Discount %]]&lt;40%, "Medium", JumiaTable[[#This Row],[Discount %]]&gt;=40%, "High Discount")</calculatedColumnFormula>
    </tableColumn>
    <tableColumn id="5" xr3:uid="{708B218E-28A6-4D80-9F77-66FCEAF11A28}" name="Review"/>
    <tableColumn id="6" xr3:uid="{4DEBC583-87A2-4E42-845A-4AFE5704FC6B}" name="Rating" dataDxfId="34"/>
    <tableColumn id="11" xr3:uid="{3BFDB7A4-F339-4458-B291-99AAAE6DE4FE}" name="Rating Category" dataDxfId="33">
      <calculatedColumnFormula array="1">_xlfn.IFS(JumiaTable[[#This Row],[Rating]]&lt;3, "Poor", JumiaTable[[#This Row],[Rating]]&lt;4.5, "Average", JumiaTable[[#This Row],[Rating]]&gt; 4.4,"Excellent",JumiaTable[[#This Row],[Rating]]=" ", "No Rating")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BD83-90A9-4B4C-A5F9-7AA3D650C879}">
  <dimension ref="A1:F116"/>
  <sheetViews>
    <sheetView zoomScale="90" zoomScaleNormal="90" workbookViewId="0">
      <selection activeCell="A6" sqref="A6"/>
    </sheetView>
  </sheetViews>
  <sheetFormatPr defaultRowHeight="14.5" x14ac:dyDescent="0.35"/>
  <cols>
    <col min="1" max="1" width="91.36328125" bestFit="1" customWidth="1"/>
    <col min="2" max="3" width="18.54296875" bestFit="1" customWidth="1"/>
    <col min="4" max="4" width="8.26953125" bestFit="1" customWidth="1"/>
    <col min="5" max="5" width="7.1796875" bestFit="1" customWidth="1"/>
    <col min="6" max="6" width="10.26953125" bestFit="1" customWidth="1"/>
  </cols>
  <sheetData>
    <row r="1" spans="1:6" x14ac:dyDescent="0.35">
      <c r="A1" t="s">
        <v>0</v>
      </c>
      <c r="B1" t="s">
        <v>1</v>
      </c>
      <c r="C1" t="s">
        <v>2</v>
      </c>
      <c r="D1" t="s">
        <v>3</v>
      </c>
      <c r="E1" t="s">
        <v>4</v>
      </c>
      <c r="F1" t="s">
        <v>322</v>
      </c>
    </row>
    <row r="2" spans="1:6" x14ac:dyDescent="0.35">
      <c r="A2" t="s">
        <v>5</v>
      </c>
      <c r="B2" t="s">
        <v>6</v>
      </c>
      <c r="C2" t="s">
        <v>7</v>
      </c>
      <c r="D2" s="1">
        <v>0.38</v>
      </c>
      <c r="E2">
        <v>-2</v>
      </c>
      <c r="F2" t="s">
        <v>8</v>
      </c>
    </row>
    <row r="3" spans="1:6" x14ac:dyDescent="0.35">
      <c r="A3" t="s">
        <v>9</v>
      </c>
      <c r="B3" t="s">
        <v>10</v>
      </c>
      <c r="C3" t="s">
        <v>11</v>
      </c>
      <c r="D3" s="1">
        <v>0.47</v>
      </c>
      <c r="E3">
        <v>-14</v>
      </c>
      <c r="F3" t="s">
        <v>12</v>
      </c>
    </row>
    <row r="4" spans="1:6" x14ac:dyDescent="0.35">
      <c r="A4" t="s">
        <v>13</v>
      </c>
      <c r="B4" t="s">
        <v>14</v>
      </c>
      <c r="C4" t="s">
        <v>15</v>
      </c>
      <c r="D4" s="1">
        <v>0.25</v>
      </c>
      <c r="E4">
        <v>-24</v>
      </c>
      <c r="F4" t="s">
        <v>16</v>
      </c>
    </row>
    <row r="5" spans="1:6" x14ac:dyDescent="0.35">
      <c r="A5" t="s">
        <v>17</v>
      </c>
      <c r="B5" t="s">
        <v>18</v>
      </c>
      <c r="C5" t="s">
        <v>19</v>
      </c>
      <c r="D5" s="1">
        <v>0.37</v>
      </c>
      <c r="E5">
        <v>-7</v>
      </c>
      <c r="F5" t="s">
        <v>20</v>
      </c>
    </row>
    <row r="6" spans="1:6" x14ac:dyDescent="0.35">
      <c r="A6" t="s">
        <v>21</v>
      </c>
      <c r="B6" t="s">
        <v>22</v>
      </c>
      <c r="C6" t="s">
        <v>23</v>
      </c>
      <c r="D6" s="1">
        <v>0.26</v>
      </c>
      <c r="E6">
        <v>-5</v>
      </c>
      <c r="F6" t="s">
        <v>24</v>
      </c>
    </row>
    <row r="7" spans="1:6" x14ac:dyDescent="0.35">
      <c r="A7" t="s">
        <v>25</v>
      </c>
      <c r="B7" t="s">
        <v>26</v>
      </c>
      <c r="C7" t="s">
        <v>27</v>
      </c>
      <c r="D7" s="1">
        <v>0.09</v>
      </c>
      <c r="E7">
        <v>-15</v>
      </c>
      <c r="F7" t="s">
        <v>28</v>
      </c>
    </row>
    <row r="8" spans="1:6" x14ac:dyDescent="0.35">
      <c r="A8" t="s">
        <v>29</v>
      </c>
      <c r="B8" t="s">
        <v>30</v>
      </c>
      <c r="C8" t="s">
        <v>31</v>
      </c>
      <c r="D8" s="1">
        <v>0.24</v>
      </c>
      <c r="E8">
        <v>-55</v>
      </c>
      <c r="F8" t="s">
        <v>16</v>
      </c>
    </row>
    <row r="9" spans="1:6" x14ac:dyDescent="0.35">
      <c r="A9" t="s">
        <v>32</v>
      </c>
      <c r="B9" t="s">
        <v>33</v>
      </c>
      <c r="C9" t="s">
        <v>18</v>
      </c>
      <c r="D9" s="1">
        <v>0.37</v>
      </c>
      <c r="E9">
        <v>-2</v>
      </c>
      <c r="F9" t="s">
        <v>28</v>
      </c>
    </row>
    <row r="10" spans="1:6" x14ac:dyDescent="0.35">
      <c r="A10" t="s">
        <v>34</v>
      </c>
      <c r="B10" t="s">
        <v>35</v>
      </c>
      <c r="C10" t="s">
        <v>36</v>
      </c>
      <c r="D10" s="1">
        <v>0.55000000000000004</v>
      </c>
      <c r="E10">
        <v>-5</v>
      </c>
      <c r="F10" t="s">
        <v>24</v>
      </c>
    </row>
    <row r="11" spans="1:6" x14ac:dyDescent="0.35">
      <c r="A11" t="s">
        <v>37</v>
      </c>
      <c r="B11" t="s">
        <v>38</v>
      </c>
      <c r="C11" t="s">
        <v>39</v>
      </c>
      <c r="D11" s="1">
        <v>0.45</v>
      </c>
      <c r="E11">
        <v>-5</v>
      </c>
      <c r="F11" t="s">
        <v>40</v>
      </c>
    </row>
    <row r="12" spans="1:6" x14ac:dyDescent="0.35">
      <c r="A12" t="s">
        <v>41</v>
      </c>
      <c r="B12" t="s">
        <v>42</v>
      </c>
      <c r="C12" t="s">
        <v>11</v>
      </c>
      <c r="D12" s="1">
        <v>0.2</v>
      </c>
      <c r="E12">
        <v>-12</v>
      </c>
      <c r="F12" t="s">
        <v>12</v>
      </c>
    </row>
    <row r="13" spans="1:6" x14ac:dyDescent="0.35">
      <c r="A13" t="s">
        <v>43</v>
      </c>
      <c r="B13" t="s">
        <v>44</v>
      </c>
      <c r="C13" t="s">
        <v>45</v>
      </c>
      <c r="D13" s="1">
        <v>0.34</v>
      </c>
      <c r="E13">
        <v>-39</v>
      </c>
      <c r="F13" t="s">
        <v>20</v>
      </c>
    </row>
    <row r="14" spans="1:6" x14ac:dyDescent="0.35">
      <c r="A14" t="s">
        <v>46</v>
      </c>
      <c r="B14" t="s">
        <v>47</v>
      </c>
      <c r="C14" t="s">
        <v>48</v>
      </c>
      <c r="D14" s="1">
        <v>0.47</v>
      </c>
      <c r="E14">
        <v>-12</v>
      </c>
      <c r="F14" t="s">
        <v>24</v>
      </c>
    </row>
    <row r="15" spans="1:6" x14ac:dyDescent="0.35">
      <c r="A15" t="s">
        <v>49</v>
      </c>
      <c r="B15" t="s">
        <v>50</v>
      </c>
      <c r="C15" t="s">
        <v>51</v>
      </c>
      <c r="D15" s="1">
        <v>0.42</v>
      </c>
      <c r="E15">
        <v>-6</v>
      </c>
      <c r="F15" t="s">
        <v>8</v>
      </c>
    </row>
    <row r="16" spans="1:6" x14ac:dyDescent="0.35">
      <c r="A16" t="s">
        <v>52</v>
      </c>
      <c r="B16" t="s">
        <v>53</v>
      </c>
      <c r="C16" t="s">
        <v>19</v>
      </c>
      <c r="D16" s="1">
        <v>0.33</v>
      </c>
      <c r="E16">
        <v>-9</v>
      </c>
      <c r="F16" t="s">
        <v>54</v>
      </c>
    </row>
    <row r="17" spans="1:6" x14ac:dyDescent="0.35">
      <c r="A17" t="s">
        <v>55</v>
      </c>
      <c r="B17" t="s">
        <v>56</v>
      </c>
      <c r="C17" t="s">
        <v>57</v>
      </c>
      <c r="D17" s="1">
        <v>0.51</v>
      </c>
      <c r="E17">
        <v>-2</v>
      </c>
      <c r="F17" t="s">
        <v>58</v>
      </c>
    </row>
    <row r="18" spans="1:6" x14ac:dyDescent="0.35">
      <c r="A18" t="s">
        <v>59</v>
      </c>
      <c r="B18" t="s">
        <v>60</v>
      </c>
      <c r="C18" t="s">
        <v>61</v>
      </c>
      <c r="D18" s="1">
        <v>0.46</v>
      </c>
      <c r="E18">
        <v>-2</v>
      </c>
      <c r="F18" t="s">
        <v>58</v>
      </c>
    </row>
    <row r="19" spans="1:6" x14ac:dyDescent="0.35">
      <c r="A19" t="s">
        <v>62</v>
      </c>
      <c r="B19" t="s">
        <v>63</v>
      </c>
      <c r="C19" t="s">
        <v>64</v>
      </c>
      <c r="D19" s="1">
        <v>0.49</v>
      </c>
      <c r="E19">
        <v>-3</v>
      </c>
      <c r="F19" t="s">
        <v>58</v>
      </c>
    </row>
    <row r="20" spans="1:6" x14ac:dyDescent="0.35">
      <c r="A20" t="s">
        <v>65</v>
      </c>
      <c r="B20" t="s">
        <v>26</v>
      </c>
      <c r="C20" t="s">
        <v>66</v>
      </c>
      <c r="D20" s="1">
        <v>0.19</v>
      </c>
      <c r="E20">
        <v>-5</v>
      </c>
      <c r="F20" t="s">
        <v>16</v>
      </c>
    </row>
    <row r="21" spans="1:6" x14ac:dyDescent="0.35">
      <c r="A21" t="s">
        <v>67</v>
      </c>
      <c r="B21" t="s">
        <v>68</v>
      </c>
      <c r="C21" t="s">
        <v>69</v>
      </c>
      <c r="D21" s="1">
        <v>0.49</v>
      </c>
      <c r="E21">
        <v>-44</v>
      </c>
      <c r="F21" t="s">
        <v>16</v>
      </c>
    </row>
    <row r="22" spans="1:6" x14ac:dyDescent="0.35">
      <c r="A22" t="s">
        <v>70</v>
      </c>
      <c r="B22" t="s">
        <v>71</v>
      </c>
      <c r="C22" t="s">
        <v>72</v>
      </c>
      <c r="D22" s="1">
        <v>0.53</v>
      </c>
      <c r="E22">
        <v>-13</v>
      </c>
      <c r="F22" t="s">
        <v>73</v>
      </c>
    </row>
    <row r="23" spans="1:6" x14ac:dyDescent="0.35">
      <c r="A23" t="s">
        <v>74</v>
      </c>
      <c r="B23" t="s">
        <v>75</v>
      </c>
      <c r="C23" t="s">
        <v>76</v>
      </c>
      <c r="D23" s="1">
        <v>0.42</v>
      </c>
    </row>
    <row r="24" spans="1:6" x14ac:dyDescent="0.35">
      <c r="A24" t="s">
        <v>77</v>
      </c>
      <c r="B24" t="s">
        <v>78</v>
      </c>
      <c r="C24" t="s">
        <v>79</v>
      </c>
      <c r="D24" s="1">
        <v>0.35</v>
      </c>
      <c r="E24">
        <v>-6</v>
      </c>
      <c r="F24" t="s">
        <v>28</v>
      </c>
    </row>
    <row r="25" spans="1:6" x14ac:dyDescent="0.35">
      <c r="A25" t="s">
        <v>80</v>
      </c>
      <c r="B25" t="s">
        <v>81</v>
      </c>
      <c r="C25" t="s">
        <v>82</v>
      </c>
      <c r="D25" s="1">
        <v>0.23</v>
      </c>
      <c r="E25">
        <v>-14</v>
      </c>
      <c r="F25" t="s">
        <v>83</v>
      </c>
    </row>
    <row r="26" spans="1:6" x14ac:dyDescent="0.35">
      <c r="A26" t="s">
        <v>84</v>
      </c>
      <c r="B26" t="s">
        <v>85</v>
      </c>
      <c r="C26" t="s">
        <v>86</v>
      </c>
      <c r="D26" s="1">
        <v>0.54</v>
      </c>
      <c r="E26">
        <v>-7</v>
      </c>
      <c r="F26" t="s">
        <v>87</v>
      </c>
    </row>
    <row r="27" spans="1:6" x14ac:dyDescent="0.35">
      <c r="A27" t="s">
        <v>88</v>
      </c>
      <c r="B27" t="s">
        <v>89</v>
      </c>
      <c r="C27" t="s">
        <v>90</v>
      </c>
      <c r="D27" s="1">
        <v>0.35</v>
      </c>
      <c r="E27">
        <v>-49</v>
      </c>
      <c r="F27" t="s">
        <v>16</v>
      </c>
    </row>
    <row r="28" spans="1:6" x14ac:dyDescent="0.35">
      <c r="A28" t="s">
        <v>91</v>
      </c>
      <c r="B28" t="s">
        <v>92</v>
      </c>
      <c r="C28" t="s">
        <v>93</v>
      </c>
      <c r="D28" s="1">
        <v>0.18</v>
      </c>
      <c r="E28">
        <v>-12</v>
      </c>
      <c r="F28" t="s">
        <v>40</v>
      </c>
    </row>
    <row r="29" spans="1:6" x14ac:dyDescent="0.35">
      <c r="A29" t="s">
        <v>94</v>
      </c>
      <c r="B29" t="s">
        <v>79</v>
      </c>
      <c r="C29" t="s">
        <v>95</v>
      </c>
      <c r="D29" s="1">
        <v>0.32</v>
      </c>
      <c r="E29">
        <v>-13</v>
      </c>
      <c r="F29" t="s">
        <v>40</v>
      </c>
    </row>
    <row r="30" spans="1:6" x14ac:dyDescent="0.35">
      <c r="A30" t="s">
        <v>96</v>
      </c>
      <c r="B30" t="s">
        <v>97</v>
      </c>
      <c r="C30" t="s">
        <v>19</v>
      </c>
      <c r="D30" s="1">
        <v>0.3</v>
      </c>
      <c r="E30">
        <v>-20</v>
      </c>
      <c r="F30" t="s">
        <v>12</v>
      </c>
    </row>
    <row r="31" spans="1:6" x14ac:dyDescent="0.35">
      <c r="A31" t="s">
        <v>98</v>
      </c>
      <c r="B31" t="s">
        <v>99</v>
      </c>
      <c r="C31" t="s">
        <v>100</v>
      </c>
      <c r="D31" s="1">
        <v>0.46</v>
      </c>
    </row>
    <row r="32" spans="1:6" x14ac:dyDescent="0.35">
      <c r="A32" t="s">
        <v>101</v>
      </c>
      <c r="B32" t="s">
        <v>102</v>
      </c>
      <c r="C32" t="s">
        <v>103</v>
      </c>
      <c r="D32" s="1">
        <v>0.52</v>
      </c>
      <c r="E32">
        <v>-9</v>
      </c>
      <c r="F32" t="s">
        <v>87</v>
      </c>
    </row>
    <row r="33" spans="1:6" x14ac:dyDescent="0.35">
      <c r="A33" t="s">
        <v>104</v>
      </c>
      <c r="B33" t="s">
        <v>105</v>
      </c>
      <c r="C33" t="s">
        <v>106</v>
      </c>
      <c r="D33" s="1">
        <v>0.34</v>
      </c>
      <c r="E33">
        <v>-12</v>
      </c>
      <c r="F33" t="s">
        <v>20</v>
      </c>
    </row>
    <row r="34" spans="1:6" x14ac:dyDescent="0.35">
      <c r="A34" t="s">
        <v>107</v>
      </c>
      <c r="B34" t="s">
        <v>108</v>
      </c>
      <c r="C34" t="s">
        <v>109</v>
      </c>
      <c r="D34" s="1">
        <v>0.48</v>
      </c>
      <c r="E34">
        <v>-9</v>
      </c>
      <c r="F34" t="s">
        <v>87</v>
      </c>
    </row>
    <row r="35" spans="1:6" x14ac:dyDescent="0.35">
      <c r="A35" t="s">
        <v>110</v>
      </c>
      <c r="B35" t="s">
        <v>111</v>
      </c>
      <c r="C35" t="s">
        <v>112</v>
      </c>
      <c r="D35" s="1">
        <v>0.27</v>
      </c>
      <c r="E35">
        <v>-20</v>
      </c>
      <c r="F35" t="s">
        <v>20</v>
      </c>
    </row>
    <row r="36" spans="1:6" x14ac:dyDescent="0.35">
      <c r="A36" t="s">
        <v>113</v>
      </c>
      <c r="B36" t="s">
        <v>114</v>
      </c>
      <c r="C36" t="s">
        <v>115</v>
      </c>
      <c r="D36" s="1">
        <v>0.27</v>
      </c>
      <c r="E36">
        <v>-32</v>
      </c>
      <c r="F36" t="s">
        <v>8</v>
      </c>
    </row>
    <row r="37" spans="1:6" x14ac:dyDescent="0.35">
      <c r="A37" t="s">
        <v>116</v>
      </c>
      <c r="B37" t="s">
        <v>117</v>
      </c>
      <c r="C37" t="s">
        <v>118</v>
      </c>
      <c r="D37" s="1">
        <v>0.4</v>
      </c>
      <c r="E37">
        <v>-1</v>
      </c>
      <c r="F37" t="s">
        <v>58</v>
      </c>
    </row>
    <row r="38" spans="1:6" x14ac:dyDescent="0.35">
      <c r="A38" t="s">
        <v>119</v>
      </c>
      <c r="B38" t="s">
        <v>120</v>
      </c>
      <c r="C38" t="s">
        <v>61</v>
      </c>
      <c r="D38" s="1">
        <v>0.53</v>
      </c>
      <c r="E38">
        <v>-2</v>
      </c>
      <c r="F38" t="s">
        <v>58</v>
      </c>
    </row>
    <row r="39" spans="1:6" x14ac:dyDescent="0.35">
      <c r="A39" t="s">
        <v>121</v>
      </c>
      <c r="B39" t="s">
        <v>122</v>
      </c>
      <c r="C39" t="s">
        <v>123</v>
      </c>
      <c r="D39" s="1">
        <v>0.41</v>
      </c>
      <c r="E39">
        <v>-36</v>
      </c>
      <c r="F39" t="s">
        <v>87</v>
      </c>
    </row>
    <row r="40" spans="1:6" x14ac:dyDescent="0.35">
      <c r="A40" t="s">
        <v>124</v>
      </c>
      <c r="B40" t="s">
        <v>125</v>
      </c>
      <c r="C40" t="s">
        <v>126</v>
      </c>
      <c r="D40" s="1">
        <v>0.38</v>
      </c>
      <c r="E40">
        <v>-2</v>
      </c>
      <c r="F40" t="s">
        <v>8</v>
      </c>
    </row>
    <row r="41" spans="1:6" x14ac:dyDescent="0.35">
      <c r="A41" t="s">
        <v>127</v>
      </c>
      <c r="B41" t="s">
        <v>128</v>
      </c>
      <c r="C41" t="s">
        <v>129</v>
      </c>
      <c r="D41" s="1">
        <v>0.38</v>
      </c>
    </row>
    <row r="42" spans="1:6" x14ac:dyDescent="0.35">
      <c r="A42" t="s">
        <v>130</v>
      </c>
      <c r="B42" t="s">
        <v>131</v>
      </c>
      <c r="C42" t="s">
        <v>132</v>
      </c>
      <c r="D42" s="1">
        <v>0.49</v>
      </c>
    </row>
    <row r="43" spans="1:6" x14ac:dyDescent="0.35">
      <c r="A43" t="s">
        <v>133</v>
      </c>
      <c r="B43" t="s">
        <v>134</v>
      </c>
      <c r="C43" t="s">
        <v>135</v>
      </c>
      <c r="D43" s="1">
        <v>0.5</v>
      </c>
    </row>
    <row r="44" spans="1:6" x14ac:dyDescent="0.35">
      <c r="A44" t="s">
        <v>136</v>
      </c>
      <c r="B44" t="s">
        <v>137</v>
      </c>
      <c r="C44" t="s">
        <v>138</v>
      </c>
      <c r="D44" s="1">
        <v>0.42</v>
      </c>
    </row>
    <row r="45" spans="1:6" x14ac:dyDescent="0.35">
      <c r="A45" t="s">
        <v>136</v>
      </c>
      <c r="B45" t="s">
        <v>137</v>
      </c>
      <c r="C45" t="s">
        <v>138</v>
      </c>
      <c r="D45" s="1">
        <v>0.42</v>
      </c>
    </row>
    <row r="46" spans="1:6" x14ac:dyDescent="0.35">
      <c r="A46" t="s">
        <v>139</v>
      </c>
      <c r="B46" t="s">
        <v>140</v>
      </c>
      <c r="C46" t="s">
        <v>141</v>
      </c>
      <c r="D46" s="1">
        <v>0.02</v>
      </c>
    </row>
    <row r="47" spans="1:6" x14ac:dyDescent="0.35">
      <c r="A47" t="s">
        <v>142</v>
      </c>
      <c r="B47" t="s">
        <v>11</v>
      </c>
      <c r="C47" t="s">
        <v>143</v>
      </c>
      <c r="D47" s="1">
        <v>0.5</v>
      </c>
    </row>
    <row r="48" spans="1:6" x14ac:dyDescent="0.35">
      <c r="A48" t="s">
        <v>144</v>
      </c>
      <c r="B48" t="s">
        <v>145</v>
      </c>
      <c r="C48" t="s">
        <v>146</v>
      </c>
      <c r="D48" s="1">
        <v>0.33</v>
      </c>
    </row>
    <row r="49" spans="1:6" x14ac:dyDescent="0.35">
      <c r="A49" t="s">
        <v>147</v>
      </c>
      <c r="B49" t="s">
        <v>148</v>
      </c>
      <c r="C49" t="s">
        <v>149</v>
      </c>
      <c r="D49" s="1">
        <v>0.49</v>
      </c>
    </row>
    <row r="50" spans="1:6" x14ac:dyDescent="0.35">
      <c r="A50" t="s">
        <v>150</v>
      </c>
      <c r="B50" t="s">
        <v>151</v>
      </c>
      <c r="C50" t="s">
        <v>152</v>
      </c>
      <c r="D50" s="1">
        <v>0.38</v>
      </c>
    </row>
    <row r="51" spans="1:6" x14ac:dyDescent="0.35">
      <c r="A51" t="s">
        <v>153</v>
      </c>
      <c r="B51" t="s">
        <v>154</v>
      </c>
      <c r="C51" t="s">
        <v>155</v>
      </c>
      <c r="D51" s="1">
        <v>0.61</v>
      </c>
    </row>
    <row r="52" spans="1:6" x14ac:dyDescent="0.35">
      <c r="A52" t="s">
        <v>156</v>
      </c>
      <c r="B52" t="s">
        <v>157</v>
      </c>
      <c r="C52" t="s">
        <v>158</v>
      </c>
      <c r="D52" s="1">
        <v>0.5</v>
      </c>
    </row>
    <row r="53" spans="1:6" x14ac:dyDescent="0.35">
      <c r="A53" t="s">
        <v>159</v>
      </c>
      <c r="B53" t="s">
        <v>160</v>
      </c>
      <c r="C53" t="s">
        <v>161</v>
      </c>
      <c r="D53" s="1">
        <v>0.02</v>
      </c>
    </row>
    <row r="54" spans="1:6" x14ac:dyDescent="0.35">
      <c r="A54" t="s">
        <v>162</v>
      </c>
      <c r="B54" t="s">
        <v>157</v>
      </c>
      <c r="C54" t="s">
        <v>163</v>
      </c>
      <c r="D54" s="1">
        <v>0.22</v>
      </c>
    </row>
    <row r="55" spans="1:6" x14ac:dyDescent="0.35">
      <c r="A55" t="s">
        <v>164</v>
      </c>
      <c r="B55" t="s">
        <v>165</v>
      </c>
      <c r="C55" t="s">
        <v>166</v>
      </c>
      <c r="D55" s="1">
        <v>0.03</v>
      </c>
    </row>
    <row r="56" spans="1:6" x14ac:dyDescent="0.35">
      <c r="A56" t="s">
        <v>167</v>
      </c>
      <c r="B56" t="s">
        <v>42</v>
      </c>
      <c r="C56" t="s">
        <v>168</v>
      </c>
      <c r="D56" s="1">
        <v>0.41</v>
      </c>
    </row>
    <row r="57" spans="1:6" x14ac:dyDescent="0.35">
      <c r="A57" t="s">
        <v>169</v>
      </c>
      <c r="B57" t="s">
        <v>170</v>
      </c>
      <c r="C57" t="s">
        <v>171</v>
      </c>
      <c r="D57" s="1">
        <v>0.45</v>
      </c>
    </row>
    <row r="58" spans="1:6" x14ac:dyDescent="0.35">
      <c r="A58" t="s">
        <v>172</v>
      </c>
      <c r="B58" t="s">
        <v>173</v>
      </c>
      <c r="C58" t="s">
        <v>168</v>
      </c>
      <c r="D58" s="1">
        <v>0.48</v>
      </c>
    </row>
    <row r="59" spans="1:6" x14ac:dyDescent="0.35">
      <c r="A59" t="s">
        <v>174</v>
      </c>
      <c r="B59" t="s">
        <v>42</v>
      </c>
      <c r="C59" t="s">
        <v>175</v>
      </c>
      <c r="D59" s="1">
        <v>0.49</v>
      </c>
    </row>
    <row r="60" spans="1:6" x14ac:dyDescent="0.35">
      <c r="A60" t="s">
        <v>176</v>
      </c>
      <c r="B60" t="s">
        <v>177</v>
      </c>
      <c r="C60" t="s">
        <v>178</v>
      </c>
      <c r="D60" s="1">
        <v>0.27</v>
      </c>
    </row>
    <row r="61" spans="1:6" x14ac:dyDescent="0.35">
      <c r="A61" t="s">
        <v>169</v>
      </c>
      <c r="B61" t="s">
        <v>179</v>
      </c>
      <c r="C61" t="s">
        <v>180</v>
      </c>
      <c r="D61" s="1">
        <v>0.55000000000000004</v>
      </c>
    </row>
    <row r="62" spans="1:6" x14ac:dyDescent="0.35">
      <c r="A62" t="s">
        <v>181</v>
      </c>
      <c r="B62" t="s">
        <v>182</v>
      </c>
      <c r="C62" t="s">
        <v>183</v>
      </c>
      <c r="D62" s="1">
        <v>0.13</v>
      </c>
      <c r="E62">
        <v>-6</v>
      </c>
      <c r="F62" t="s">
        <v>184</v>
      </c>
    </row>
    <row r="63" spans="1:6" x14ac:dyDescent="0.35">
      <c r="A63" t="s">
        <v>185</v>
      </c>
      <c r="B63" t="s">
        <v>186</v>
      </c>
      <c r="C63" t="s">
        <v>187</v>
      </c>
      <c r="D63" s="1">
        <v>0.54</v>
      </c>
      <c r="E63">
        <v>-10</v>
      </c>
      <c r="F63" t="s">
        <v>188</v>
      </c>
    </row>
    <row r="64" spans="1:6" x14ac:dyDescent="0.35">
      <c r="A64" t="s">
        <v>189</v>
      </c>
      <c r="B64" t="s">
        <v>190</v>
      </c>
      <c r="C64" t="s">
        <v>191</v>
      </c>
      <c r="D64" s="1">
        <v>0.55000000000000004</v>
      </c>
      <c r="E64">
        <v>-13</v>
      </c>
      <c r="F64" t="s">
        <v>192</v>
      </c>
    </row>
    <row r="65" spans="1:6" x14ac:dyDescent="0.35">
      <c r="A65" t="s">
        <v>193</v>
      </c>
      <c r="B65" t="s">
        <v>194</v>
      </c>
      <c r="C65" t="s">
        <v>195</v>
      </c>
      <c r="D65" s="1">
        <v>0.49</v>
      </c>
      <c r="E65">
        <v>-69</v>
      </c>
      <c r="F65" t="s">
        <v>196</v>
      </c>
    </row>
    <row r="66" spans="1:6" x14ac:dyDescent="0.35">
      <c r="A66" t="s">
        <v>197</v>
      </c>
      <c r="B66" t="s">
        <v>198</v>
      </c>
      <c r="C66" t="s">
        <v>199</v>
      </c>
      <c r="D66" s="1">
        <v>0.52</v>
      </c>
      <c r="E66">
        <v>-15</v>
      </c>
      <c r="F66" t="s">
        <v>200</v>
      </c>
    </row>
    <row r="67" spans="1:6" x14ac:dyDescent="0.35">
      <c r="A67" t="s">
        <v>201</v>
      </c>
      <c r="B67" t="s">
        <v>202</v>
      </c>
      <c r="C67" t="s">
        <v>203</v>
      </c>
      <c r="D67" s="1">
        <v>0.22</v>
      </c>
      <c r="E67">
        <v>-16</v>
      </c>
      <c r="F67" t="s">
        <v>204</v>
      </c>
    </row>
    <row r="68" spans="1:6" x14ac:dyDescent="0.35">
      <c r="A68" t="s">
        <v>205</v>
      </c>
      <c r="B68" t="s">
        <v>44</v>
      </c>
      <c r="C68" t="s">
        <v>206</v>
      </c>
      <c r="D68" s="1">
        <v>0.45</v>
      </c>
      <c r="E68">
        <v>-6</v>
      </c>
      <c r="F68" t="s">
        <v>207</v>
      </c>
    </row>
    <row r="69" spans="1:6" x14ac:dyDescent="0.35">
      <c r="A69" t="s">
        <v>208</v>
      </c>
      <c r="B69" t="s">
        <v>209</v>
      </c>
      <c r="C69" t="s">
        <v>143</v>
      </c>
      <c r="D69" s="1">
        <v>0.5</v>
      </c>
      <c r="E69">
        <v>-7</v>
      </c>
      <c r="F69" t="s">
        <v>210</v>
      </c>
    </row>
    <row r="70" spans="1:6" x14ac:dyDescent="0.35">
      <c r="A70" t="s">
        <v>211</v>
      </c>
      <c r="B70" t="s">
        <v>212</v>
      </c>
      <c r="C70" t="s">
        <v>213</v>
      </c>
      <c r="D70" s="1">
        <v>0.39</v>
      </c>
      <c r="E70">
        <v>-5</v>
      </c>
      <c r="F70" t="s">
        <v>188</v>
      </c>
    </row>
    <row r="71" spans="1:6" x14ac:dyDescent="0.35">
      <c r="A71" t="s">
        <v>214</v>
      </c>
      <c r="B71" t="s">
        <v>103</v>
      </c>
      <c r="C71" t="s">
        <v>215</v>
      </c>
      <c r="D71" s="1">
        <v>0.45</v>
      </c>
      <c r="E71">
        <v>-17</v>
      </c>
      <c r="F71" t="s">
        <v>216</v>
      </c>
    </row>
    <row r="72" spans="1:6" x14ac:dyDescent="0.35">
      <c r="A72" t="s">
        <v>217</v>
      </c>
      <c r="B72" t="s">
        <v>218</v>
      </c>
      <c r="C72" t="s">
        <v>219</v>
      </c>
      <c r="D72" s="1">
        <v>0.28999999999999998</v>
      </c>
      <c r="E72">
        <v>-5</v>
      </c>
      <c r="F72" t="s">
        <v>188</v>
      </c>
    </row>
    <row r="73" spans="1:6" x14ac:dyDescent="0.35">
      <c r="A73" t="s">
        <v>220</v>
      </c>
      <c r="B73" t="s">
        <v>221</v>
      </c>
      <c r="C73" t="s">
        <v>222</v>
      </c>
      <c r="D73" s="1">
        <v>0.43</v>
      </c>
      <c r="E73">
        <v>-6</v>
      </c>
      <c r="F73" t="s">
        <v>210</v>
      </c>
    </row>
    <row r="74" spans="1:6" x14ac:dyDescent="0.35">
      <c r="A74" t="s">
        <v>223</v>
      </c>
      <c r="B74" t="s">
        <v>224</v>
      </c>
      <c r="C74" t="s">
        <v>225</v>
      </c>
      <c r="D74" s="1">
        <v>0.43</v>
      </c>
      <c r="E74">
        <v>-5</v>
      </c>
      <c r="F74" t="s">
        <v>188</v>
      </c>
    </row>
    <row r="75" spans="1:6" x14ac:dyDescent="0.35">
      <c r="A75" t="s">
        <v>226</v>
      </c>
      <c r="B75" t="s">
        <v>227</v>
      </c>
      <c r="C75" t="s">
        <v>206</v>
      </c>
      <c r="D75" s="1">
        <v>0.47</v>
      </c>
      <c r="E75">
        <v>-6</v>
      </c>
      <c r="F75" t="s">
        <v>207</v>
      </c>
    </row>
    <row r="76" spans="1:6" x14ac:dyDescent="0.35">
      <c r="A76" t="s">
        <v>228</v>
      </c>
      <c r="B76" t="s">
        <v>229</v>
      </c>
      <c r="C76" t="s">
        <v>230</v>
      </c>
      <c r="D76" s="1">
        <v>0.47</v>
      </c>
      <c r="E76">
        <v>-7</v>
      </c>
      <c r="F76" t="s">
        <v>192</v>
      </c>
    </row>
    <row r="77" spans="1:6" x14ac:dyDescent="0.35">
      <c r="A77" t="s">
        <v>231</v>
      </c>
      <c r="B77" t="s">
        <v>232</v>
      </c>
      <c r="C77" t="s">
        <v>233</v>
      </c>
      <c r="D77" s="1">
        <v>0.47</v>
      </c>
    </row>
    <row r="78" spans="1:6" x14ac:dyDescent="0.35">
      <c r="A78" t="s">
        <v>234</v>
      </c>
      <c r="B78" t="s">
        <v>235</v>
      </c>
      <c r="C78" t="s">
        <v>151</v>
      </c>
      <c r="D78" s="1">
        <v>0.43</v>
      </c>
    </row>
    <row r="79" spans="1:6" x14ac:dyDescent="0.35">
      <c r="A79" t="s">
        <v>236</v>
      </c>
      <c r="B79" t="s">
        <v>237</v>
      </c>
      <c r="C79" t="s">
        <v>238</v>
      </c>
      <c r="D79" s="1">
        <v>0.04</v>
      </c>
    </row>
    <row r="80" spans="1:6" x14ac:dyDescent="0.35">
      <c r="A80" t="s">
        <v>239</v>
      </c>
      <c r="B80" t="s">
        <v>240</v>
      </c>
      <c r="C80" t="s">
        <v>241</v>
      </c>
      <c r="D80" s="1">
        <v>0.49</v>
      </c>
    </row>
    <row r="81" spans="1:6" x14ac:dyDescent="0.35">
      <c r="A81" t="s">
        <v>242</v>
      </c>
      <c r="B81" t="s">
        <v>243</v>
      </c>
      <c r="C81" t="s">
        <v>14</v>
      </c>
      <c r="D81" s="1">
        <v>0.46</v>
      </c>
      <c r="E81">
        <v>-1</v>
      </c>
      <c r="F81" t="s">
        <v>188</v>
      </c>
    </row>
    <row r="82" spans="1:6" x14ac:dyDescent="0.35">
      <c r="A82" t="s">
        <v>244</v>
      </c>
      <c r="B82" t="s">
        <v>245</v>
      </c>
      <c r="C82" t="s">
        <v>246</v>
      </c>
      <c r="D82" s="1">
        <v>0.49</v>
      </c>
      <c r="E82">
        <v>-1</v>
      </c>
      <c r="F82" t="s">
        <v>58</v>
      </c>
    </row>
    <row r="83" spans="1:6" x14ac:dyDescent="0.35">
      <c r="A83" t="s">
        <v>247</v>
      </c>
      <c r="B83" t="s">
        <v>248</v>
      </c>
      <c r="C83" t="s">
        <v>249</v>
      </c>
      <c r="D83" s="1">
        <v>0.36</v>
      </c>
    </row>
    <row r="84" spans="1:6" x14ac:dyDescent="0.35">
      <c r="A84" t="s">
        <v>250</v>
      </c>
      <c r="B84" t="s">
        <v>251</v>
      </c>
      <c r="C84" t="s">
        <v>161</v>
      </c>
      <c r="D84" s="1">
        <v>0.02</v>
      </c>
    </row>
    <row r="85" spans="1:6" x14ac:dyDescent="0.35">
      <c r="A85" t="s">
        <v>252</v>
      </c>
      <c r="B85" t="s">
        <v>253</v>
      </c>
      <c r="C85" t="s">
        <v>90</v>
      </c>
      <c r="D85" s="1">
        <v>0.49</v>
      </c>
      <c r="E85">
        <v>-1</v>
      </c>
      <c r="F85" t="s">
        <v>28</v>
      </c>
    </row>
    <row r="86" spans="1:6" x14ac:dyDescent="0.35">
      <c r="A86" t="s">
        <v>136</v>
      </c>
      <c r="B86" t="s">
        <v>137</v>
      </c>
      <c r="C86" t="s">
        <v>138</v>
      </c>
      <c r="D86" s="1">
        <v>0.42</v>
      </c>
    </row>
    <row r="87" spans="1:6" x14ac:dyDescent="0.35">
      <c r="A87" t="s">
        <v>153</v>
      </c>
      <c r="B87" t="s">
        <v>254</v>
      </c>
      <c r="C87" t="s">
        <v>221</v>
      </c>
      <c r="D87" s="1">
        <v>0.49</v>
      </c>
    </row>
    <row r="88" spans="1:6" x14ac:dyDescent="0.35">
      <c r="A88" t="s">
        <v>255</v>
      </c>
      <c r="B88" t="s">
        <v>256</v>
      </c>
      <c r="C88" t="s">
        <v>161</v>
      </c>
      <c r="D88" s="1">
        <v>0.14000000000000001</v>
      </c>
    </row>
    <row r="89" spans="1:6" x14ac:dyDescent="0.35">
      <c r="A89" t="s">
        <v>257</v>
      </c>
      <c r="B89" t="s">
        <v>258</v>
      </c>
      <c r="C89" t="s">
        <v>259</v>
      </c>
      <c r="D89" s="1">
        <v>0.49</v>
      </c>
    </row>
    <row r="90" spans="1:6" x14ac:dyDescent="0.35">
      <c r="A90" t="s">
        <v>260</v>
      </c>
      <c r="B90" t="s">
        <v>42</v>
      </c>
      <c r="C90" t="s">
        <v>171</v>
      </c>
      <c r="D90" s="1">
        <v>0.11</v>
      </c>
    </row>
    <row r="91" spans="1:6" x14ac:dyDescent="0.35">
      <c r="A91" t="s">
        <v>174</v>
      </c>
      <c r="B91" t="s">
        <v>261</v>
      </c>
      <c r="C91" t="s">
        <v>262</v>
      </c>
      <c r="D91" s="1">
        <v>0.49</v>
      </c>
    </row>
    <row r="92" spans="1:6" x14ac:dyDescent="0.35">
      <c r="A92" t="s">
        <v>263</v>
      </c>
      <c r="B92" t="s">
        <v>264</v>
      </c>
      <c r="C92" t="s">
        <v>161</v>
      </c>
      <c r="D92" s="1">
        <v>0.14000000000000001</v>
      </c>
    </row>
    <row r="93" spans="1:6" x14ac:dyDescent="0.35">
      <c r="A93" t="s">
        <v>265</v>
      </c>
      <c r="B93" t="s">
        <v>266</v>
      </c>
      <c r="C93" t="s">
        <v>267</v>
      </c>
      <c r="D93" s="1">
        <v>0.43</v>
      </c>
    </row>
    <row r="94" spans="1:6" x14ac:dyDescent="0.35">
      <c r="A94" t="s">
        <v>268</v>
      </c>
      <c r="B94" t="s">
        <v>269</v>
      </c>
      <c r="C94" t="s">
        <v>270</v>
      </c>
      <c r="D94" s="1">
        <v>0.5</v>
      </c>
    </row>
    <row r="95" spans="1:6" x14ac:dyDescent="0.35">
      <c r="A95" t="s">
        <v>271</v>
      </c>
      <c r="B95" t="s">
        <v>272</v>
      </c>
      <c r="C95" t="s">
        <v>183</v>
      </c>
      <c r="D95" s="1">
        <v>0.48</v>
      </c>
    </row>
    <row r="96" spans="1:6" x14ac:dyDescent="0.35">
      <c r="A96" t="s">
        <v>273</v>
      </c>
      <c r="B96" t="s">
        <v>274</v>
      </c>
      <c r="C96" t="s">
        <v>275</v>
      </c>
      <c r="D96" s="1">
        <v>0.48</v>
      </c>
    </row>
    <row r="97" spans="1:6" x14ac:dyDescent="0.35">
      <c r="A97" t="s">
        <v>276</v>
      </c>
      <c r="B97" t="s">
        <v>225</v>
      </c>
      <c r="C97" t="s">
        <v>161</v>
      </c>
      <c r="D97" s="1">
        <v>0.47</v>
      </c>
    </row>
    <row r="98" spans="1:6" x14ac:dyDescent="0.35">
      <c r="A98" t="s">
        <v>276</v>
      </c>
      <c r="B98" t="s">
        <v>225</v>
      </c>
      <c r="C98" t="s">
        <v>161</v>
      </c>
      <c r="D98" s="1">
        <v>0.47</v>
      </c>
    </row>
    <row r="99" spans="1:6" x14ac:dyDescent="0.35">
      <c r="A99" t="s">
        <v>277</v>
      </c>
      <c r="B99" t="s">
        <v>151</v>
      </c>
      <c r="C99" t="s">
        <v>278</v>
      </c>
      <c r="D99" s="1">
        <v>0.5</v>
      </c>
    </row>
    <row r="100" spans="1:6" x14ac:dyDescent="0.35">
      <c r="A100" t="s">
        <v>279</v>
      </c>
      <c r="B100" t="s">
        <v>280</v>
      </c>
      <c r="C100" t="s">
        <v>160</v>
      </c>
      <c r="D100" s="1">
        <v>0.08</v>
      </c>
    </row>
    <row r="101" spans="1:6" x14ac:dyDescent="0.35">
      <c r="A101" t="s">
        <v>281</v>
      </c>
      <c r="B101" t="s">
        <v>282</v>
      </c>
      <c r="C101" t="s">
        <v>166</v>
      </c>
      <c r="D101" s="1">
        <v>0.02</v>
      </c>
    </row>
    <row r="102" spans="1:6" x14ac:dyDescent="0.35">
      <c r="A102" t="s">
        <v>283</v>
      </c>
      <c r="B102" t="s">
        <v>284</v>
      </c>
      <c r="C102" t="s">
        <v>285</v>
      </c>
      <c r="D102" s="1">
        <v>0.49</v>
      </c>
    </row>
    <row r="103" spans="1:6" x14ac:dyDescent="0.35">
      <c r="A103" t="s">
        <v>286</v>
      </c>
      <c r="B103" t="s">
        <v>287</v>
      </c>
      <c r="C103" t="s">
        <v>66</v>
      </c>
      <c r="D103" s="1">
        <v>0.04</v>
      </c>
    </row>
    <row r="104" spans="1:6" x14ac:dyDescent="0.35">
      <c r="A104" t="s">
        <v>288</v>
      </c>
      <c r="B104" t="s">
        <v>289</v>
      </c>
      <c r="C104" t="s">
        <v>290</v>
      </c>
      <c r="D104" s="1">
        <v>0.49</v>
      </c>
    </row>
    <row r="105" spans="1:6" x14ac:dyDescent="0.35">
      <c r="A105" t="s">
        <v>291</v>
      </c>
      <c r="B105" t="s">
        <v>292</v>
      </c>
      <c r="C105" t="s">
        <v>293</v>
      </c>
      <c r="D105" s="1">
        <v>0.42</v>
      </c>
    </row>
    <row r="106" spans="1:6" x14ac:dyDescent="0.35">
      <c r="A106" t="s">
        <v>294</v>
      </c>
      <c r="B106" t="s">
        <v>295</v>
      </c>
      <c r="C106" t="s">
        <v>296</v>
      </c>
      <c r="D106" s="1">
        <v>0.21</v>
      </c>
      <c r="E106">
        <v>-1</v>
      </c>
      <c r="F106" t="s">
        <v>58</v>
      </c>
    </row>
    <row r="107" spans="1:6" x14ac:dyDescent="0.35">
      <c r="A107" t="s">
        <v>297</v>
      </c>
      <c r="B107" t="s">
        <v>298</v>
      </c>
      <c r="C107" t="s">
        <v>299</v>
      </c>
      <c r="D107" s="1">
        <v>0.41</v>
      </c>
    </row>
    <row r="108" spans="1:6" x14ac:dyDescent="0.35">
      <c r="A108" t="s">
        <v>300</v>
      </c>
      <c r="B108" t="s">
        <v>301</v>
      </c>
      <c r="C108" t="s">
        <v>302</v>
      </c>
      <c r="D108" s="1">
        <v>0.01</v>
      </c>
    </row>
    <row r="109" spans="1:6" x14ac:dyDescent="0.35">
      <c r="A109" t="s">
        <v>303</v>
      </c>
      <c r="B109" t="s">
        <v>304</v>
      </c>
      <c r="C109" t="s">
        <v>305</v>
      </c>
      <c r="D109" s="1">
        <v>0.24</v>
      </c>
    </row>
    <row r="110" spans="1:6" x14ac:dyDescent="0.35">
      <c r="A110" t="s">
        <v>306</v>
      </c>
      <c r="B110" t="s">
        <v>307</v>
      </c>
      <c r="C110" t="s">
        <v>308</v>
      </c>
      <c r="D110" s="1">
        <v>0.34</v>
      </c>
    </row>
    <row r="111" spans="1:6" x14ac:dyDescent="0.35">
      <c r="A111" t="s">
        <v>309</v>
      </c>
      <c r="B111" t="s">
        <v>145</v>
      </c>
      <c r="C111" t="s">
        <v>310</v>
      </c>
      <c r="D111" s="1">
        <v>0.34</v>
      </c>
    </row>
    <row r="112" spans="1:6" x14ac:dyDescent="0.35">
      <c r="A112" t="s">
        <v>311</v>
      </c>
      <c r="B112" t="s">
        <v>312</v>
      </c>
      <c r="C112" t="s">
        <v>161</v>
      </c>
      <c r="D112" s="1">
        <v>0.02</v>
      </c>
    </row>
    <row r="113" spans="1:6" x14ac:dyDescent="0.35">
      <c r="A113" t="s">
        <v>313</v>
      </c>
      <c r="B113" t="s">
        <v>314</v>
      </c>
      <c r="C113" t="s">
        <v>238</v>
      </c>
      <c r="D113" s="1">
        <v>0.02</v>
      </c>
    </row>
    <row r="114" spans="1:6" x14ac:dyDescent="0.35">
      <c r="A114" t="s">
        <v>315</v>
      </c>
      <c r="B114" t="s">
        <v>154</v>
      </c>
      <c r="C114" t="s">
        <v>316</v>
      </c>
      <c r="D114" s="1">
        <v>0.64</v>
      </c>
    </row>
    <row r="115" spans="1:6" x14ac:dyDescent="0.35">
      <c r="A115" t="s">
        <v>317</v>
      </c>
      <c r="B115" t="s">
        <v>241</v>
      </c>
      <c r="C115" t="s">
        <v>171</v>
      </c>
      <c r="D115" s="1">
        <v>0.5</v>
      </c>
      <c r="E115">
        <v>-1</v>
      </c>
      <c r="F115" t="s">
        <v>318</v>
      </c>
    </row>
    <row r="116" spans="1:6" x14ac:dyDescent="0.35">
      <c r="A116" t="s">
        <v>319</v>
      </c>
      <c r="B116" t="s">
        <v>320</v>
      </c>
      <c r="C116" t="s">
        <v>321</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D20E-4943-4085-BDF6-6181BA9A3AE0}">
  <dimension ref="A2:L59"/>
  <sheetViews>
    <sheetView topLeftCell="E1" zoomScaleNormal="100" workbookViewId="0">
      <selection activeCell="K3" sqref="K3"/>
    </sheetView>
  </sheetViews>
  <sheetFormatPr defaultRowHeight="14.5" x14ac:dyDescent="0.35"/>
  <cols>
    <col min="1" max="1" width="91.36328125" bestFit="1" customWidth="1"/>
    <col min="2" max="3" width="18.54296875" style="2" bestFit="1" customWidth="1"/>
    <col min="4" max="4" width="22.453125" style="2" customWidth="1"/>
    <col min="5" max="6" width="13.81640625" customWidth="1"/>
    <col min="7" max="7" width="9.1796875" customWidth="1"/>
    <col min="8" max="8" width="10.26953125" bestFit="1" customWidth="1"/>
    <col min="9" max="9" width="15.453125" customWidth="1"/>
    <col min="11" max="11" width="67.81640625" bestFit="1" customWidth="1"/>
    <col min="12" max="12" width="21" customWidth="1"/>
  </cols>
  <sheetData>
    <row r="2" spans="1:12" x14ac:dyDescent="0.35">
      <c r="A2" t="s">
        <v>0</v>
      </c>
      <c r="B2" s="2" t="s">
        <v>1</v>
      </c>
      <c r="C2" s="2" t="s">
        <v>2</v>
      </c>
      <c r="D2" s="2" t="s">
        <v>324</v>
      </c>
      <c r="E2" t="s">
        <v>328</v>
      </c>
      <c r="F2" t="s">
        <v>326</v>
      </c>
      <c r="G2" t="s">
        <v>4</v>
      </c>
      <c r="H2" t="s">
        <v>323</v>
      </c>
      <c r="I2" t="s">
        <v>325</v>
      </c>
      <c r="K2" s="14" t="s">
        <v>350</v>
      </c>
      <c r="L2" s="14" t="s">
        <v>351</v>
      </c>
    </row>
    <row r="3" spans="1:12" x14ac:dyDescent="0.35">
      <c r="A3" t="s">
        <v>116</v>
      </c>
      <c r="B3" s="3">
        <v>1620</v>
      </c>
      <c r="C3" s="3">
        <v>2690</v>
      </c>
      <c r="D3" s="3">
        <f>JumiaTable[[#This Row],[old price]]-JumiaTable[[#This Row],[Current price]]</f>
        <v>1070</v>
      </c>
      <c r="E3" s="1">
        <v>0.4</v>
      </c>
      <c r="F3" s="1" t="str" cm="1">
        <f t="array" ref="F3">_xlfn.IFS(JumiaTable[[#This Row],[Discount %]]&lt;20%, "Low Discount", JumiaTable[[#This Row],[Discount %]]&lt;40%, "Medium", JumiaTable[[#This Row],[Discount %]]&gt;=40%, "High Discount")</f>
        <v>High Discount</v>
      </c>
      <c r="G3">
        <v>1</v>
      </c>
      <c r="H3" s="4">
        <v>5</v>
      </c>
      <c r="I3" t="str" cm="1">
        <f t="array" ref="I3">_xlfn.IFS(JumiaTable[[#This Row],[Rating]]&lt;3, "Poor", JumiaTable[[#This Row],[Rating]]&lt;4.5, "Average", JumiaTable[[#This Row],[Rating]]&gt; 4.4,"Excellent",JumiaTable[[#This Row],[Rating]]=" ", "No Rating")</f>
        <v>Excellent</v>
      </c>
      <c r="K3" t="str">
        <f>_xlfn.XLOOKUP(MAX(JumiaTable[Current price]),JumiaTable[Current price],JumiaTable[Product])</f>
        <v>32PCS Portable Cordless Drill Set With Cyclic Battery Drive -26 Variable Speed</v>
      </c>
      <c r="L3" s="9">
        <f>VLOOKUP(K3,A3:I60,2,FALSE)</f>
        <v>3750</v>
      </c>
    </row>
    <row r="4" spans="1:12" x14ac:dyDescent="0.35">
      <c r="A4" t="s">
        <v>242</v>
      </c>
      <c r="B4" s="3">
        <v>1189</v>
      </c>
      <c r="C4" s="3">
        <v>2199</v>
      </c>
      <c r="D4" s="3">
        <f>JumiaTable[[#This Row],[old price]]-JumiaTable[[#This Row],[Current price]]</f>
        <v>1010</v>
      </c>
      <c r="E4" s="1">
        <v>0.46</v>
      </c>
      <c r="F4" s="1" t="str" cm="1">
        <f t="array" ref="F4">_xlfn.IFS(JumiaTable[[#This Row],[Discount %]]&lt;20%, "Low Discount", JumiaTable[[#This Row],[Discount %]]&lt;40%, "Medium", JumiaTable[[#This Row],[Discount %]]&gt;=40%, "High Discount")</f>
        <v>High Discount</v>
      </c>
      <c r="G4">
        <v>1</v>
      </c>
      <c r="H4" s="4">
        <v>3</v>
      </c>
      <c r="I4" t="str" cm="1">
        <f t="array" ref="I4">_xlfn.IFS(JumiaTable[[#This Row],[Rating]]&lt;3, "Poor", JumiaTable[[#This Row],[Rating]]&lt;4.5, "Average", JumiaTable[[#This Row],[Rating]]&gt; 4.4,"Excellent",JumiaTable[[#This Row],[Rating]]=" ", "No Rating")</f>
        <v>Average</v>
      </c>
      <c r="L4" s="9"/>
    </row>
    <row r="5" spans="1:12" x14ac:dyDescent="0.35">
      <c r="A5" t="s">
        <v>244</v>
      </c>
      <c r="B5" s="2">
        <v>979</v>
      </c>
      <c r="C5" s="3">
        <v>1920</v>
      </c>
      <c r="D5" s="3">
        <f>JumiaTable[[#This Row],[old price]]-JumiaTable[[#This Row],[Current price]]</f>
        <v>941</v>
      </c>
      <c r="E5" s="1">
        <v>0.49</v>
      </c>
      <c r="F5" s="1" t="str" cm="1">
        <f t="array" ref="F5">_xlfn.IFS(JumiaTable[[#This Row],[Discount %]]&lt;20%, "Low Discount", JumiaTable[[#This Row],[Discount %]]&lt;40%, "Medium", JumiaTable[[#This Row],[Discount %]]&gt;=40%, "High Discount")</f>
        <v>High Discount</v>
      </c>
      <c r="G5">
        <v>1</v>
      </c>
      <c r="H5" s="4">
        <v>5</v>
      </c>
      <c r="I5" t="str" cm="1">
        <f t="array" ref="I5">_xlfn.IFS(JumiaTable[[#This Row],[Rating]]&lt;3, "Poor", JumiaTable[[#This Row],[Rating]]&lt;4.5, "Average", JumiaTable[[#This Row],[Rating]]&gt; 4.4,"Excellent",JumiaTable[[#This Row],[Rating]]=" ", "No Rating")</f>
        <v>Excellent</v>
      </c>
      <c r="K5" s="14" t="s">
        <v>352</v>
      </c>
      <c r="L5" s="9"/>
    </row>
    <row r="6" spans="1:12" x14ac:dyDescent="0.35">
      <c r="A6" t="s">
        <v>252</v>
      </c>
      <c r="B6" s="2">
        <v>330</v>
      </c>
      <c r="C6" s="2">
        <v>647</v>
      </c>
      <c r="D6" s="3">
        <f>JumiaTable[[#This Row],[old price]]-JumiaTable[[#This Row],[Current price]]</f>
        <v>317</v>
      </c>
      <c r="E6" s="1">
        <v>0.49</v>
      </c>
      <c r="F6" s="1" t="str" cm="1">
        <f t="array" ref="F6">_xlfn.IFS(JumiaTable[[#This Row],[Discount %]]&lt;20%, "Low Discount", JumiaTable[[#This Row],[Discount %]]&lt;40%, "Medium", JumiaTable[[#This Row],[Discount %]]&gt;=40%, "High Discount")</f>
        <v>High Discount</v>
      </c>
      <c r="G6">
        <v>1</v>
      </c>
      <c r="H6" s="4">
        <v>4</v>
      </c>
      <c r="I6" t="str" cm="1">
        <f t="array" ref="I6">_xlfn.IFS(JumiaTable[[#This Row],[Rating]]&lt;3, "Poor", JumiaTable[[#This Row],[Rating]]&lt;4.5, "Average", JumiaTable[[#This Row],[Rating]]&gt; 4.4,"Excellent",JumiaTable[[#This Row],[Rating]]=" ", "No Rating")</f>
        <v>Average</v>
      </c>
      <c r="K6" t="str">
        <f>_xlfn.XLOOKUP(MIN(JumiaTable[Current price]),JumiaTable[Current price],JumiaTable[Product])</f>
        <v>3PCS Single Head Knitting Crochet Sweater Needle Set</v>
      </c>
      <c r="L6" s="9">
        <f t="shared" ref="L6" si="0">VLOOKUP(K6,A6:I63,2,FALSE)</f>
        <v>38</v>
      </c>
    </row>
    <row r="7" spans="1:12" x14ac:dyDescent="0.35">
      <c r="A7" t="s">
        <v>294</v>
      </c>
      <c r="B7" s="3">
        <v>3640</v>
      </c>
      <c r="C7" s="3">
        <v>4588</v>
      </c>
      <c r="D7" s="3">
        <f>JumiaTable[[#This Row],[old price]]-JumiaTable[[#This Row],[Current price]]</f>
        <v>948</v>
      </c>
      <c r="E7" s="1">
        <v>0.21</v>
      </c>
      <c r="F7" s="1" t="str" cm="1">
        <f t="array" ref="F7">_xlfn.IFS(JumiaTable[[#This Row],[Discount %]]&lt;20%, "Low Discount", JumiaTable[[#This Row],[Discount %]]&lt;40%, "Medium", JumiaTable[[#This Row],[Discount %]]&gt;=40%, "High Discount")</f>
        <v>Medium</v>
      </c>
      <c r="G7">
        <v>1</v>
      </c>
      <c r="H7" s="4">
        <v>5</v>
      </c>
      <c r="I7" t="str" cm="1">
        <f t="array" ref="I7">_xlfn.IFS(JumiaTable[[#This Row],[Rating]]&lt;3, "Poor", JumiaTable[[#This Row],[Rating]]&lt;4.5, "Average", JumiaTable[[#This Row],[Rating]]&gt; 4.4,"Excellent",JumiaTable[[#This Row],[Rating]]=" ", "No Rating")</f>
        <v>Excellent</v>
      </c>
    </row>
    <row r="8" spans="1:12" x14ac:dyDescent="0.35">
      <c r="A8" t="s">
        <v>317</v>
      </c>
      <c r="B8" s="2">
        <v>450</v>
      </c>
      <c r="C8" s="2">
        <v>900</v>
      </c>
      <c r="D8" s="3">
        <f>JumiaTable[[#This Row],[old price]]-JumiaTable[[#This Row],[Current price]]</f>
        <v>450</v>
      </c>
      <c r="E8" s="1">
        <v>0.5</v>
      </c>
      <c r="F8" s="1" t="str" cm="1">
        <f t="array" ref="F8">_xlfn.IFS(JumiaTable[[#This Row],[Discount %]]&lt;20%, "Low Discount", JumiaTable[[#This Row],[Discount %]]&lt;40%, "Medium", JumiaTable[[#This Row],[Discount %]]&gt;=40%, "High Discount")</f>
        <v>High Discount</v>
      </c>
      <c r="G8">
        <v>1</v>
      </c>
      <c r="H8" s="4">
        <v>2</v>
      </c>
      <c r="I8" t="str" cm="1">
        <f t="array" ref="I8">_xlfn.IFS(JumiaTable[[#This Row],[Rating]]&lt;3, "Poor", JumiaTable[[#This Row],[Rating]]&lt;4.5, "Average", JumiaTable[[#This Row],[Rating]]&gt; 4.4,"Excellent",JumiaTable[[#This Row],[Rating]]=" ", "No Rating")</f>
        <v>Poor</v>
      </c>
    </row>
    <row r="9" spans="1:12" x14ac:dyDescent="0.35">
      <c r="A9" t="s">
        <v>5</v>
      </c>
      <c r="B9" s="2">
        <v>950</v>
      </c>
      <c r="C9" s="3">
        <v>1525</v>
      </c>
      <c r="D9" s="3">
        <f>JumiaTable[[#This Row],[old price]]-JumiaTable[[#This Row],[Current price]]</f>
        <v>575</v>
      </c>
      <c r="E9" s="1">
        <v>0.38</v>
      </c>
      <c r="F9" s="1" t="str" cm="1">
        <f t="array" ref="F9">_xlfn.IFS(JumiaTable[[#This Row],[Discount %]]&lt;20%, "Low Discount", JumiaTable[[#This Row],[Discount %]]&lt;40%, "Medium", JumiaTable[[#This Row],[Discount %]]&gt;=40%, "High Discount")</f>
        <v>Medium</v>
      </c>
      <c r="G9">
        <v>2</v>
      </c>
      <c r="H9" s="4">
        <v>4.5</v>
      </c>
      <c r="I9" t="str" cm="1">
        <f t="array" ref="I9">_xlfn.IFS(JumiaTable[[#This Row],[Rating]]&lt;3, "Poor", JumiaTable[[#This Row],[Rating]]&lt;4.5, "Average", JumiaTable[[#This Row],[Rating]]&gt; 4.4,"Excellent",JumiaTable[[#This Row],[Rating]]=" ", "No Rating")</f>
        <v>Excellent</v>
      </c>
    </row>
    <row r="10" spans="1:12" x14ac:dyDescent="0.35">
      <c r="A10" t="s">
        <v>32</v>
      </c>
      <c r="B10" s="2">
        <v>988</v>
      </c>
      <c r="C10" s="3">
        <v>1580</v>
      </c>
      <c r="D10" s="3">
        <f>JumiaTable[[#This Row],[old price]]-JumiaTable[[#This Row],[Current price]]</f>
        <v>592</v>
      </c>
      <c r="E10" s="1">
        <v>0.37</v>
      </c>
      <c r="F10" s="1" t="str" cm="1">
        <f t="array" ref="F10">_xlfn.IFS(JumiaTable[[#This Row],[Discount %]]&lt;20%, "Low Discount", JumiaTable[[#This Row],[Discount %]]&lt;40%, "Medium", JumiaTable[[#This Row],[Discount %]]&gt;=40%, "High Discount")</f>
        <v>Medium</v>
      </c>
      <c r="G10">
        <v>2</v>
      </c>
      <c r="H10" s="4">
        <v>4</v>
      </c>
      <c r="I10" t="str" cm="1">
        <f t="array" ref="I10">_xlfn.IFS(JumiaTable[[#This Row],[Rating]]&lt;3, "Poor", JumiaTable[[#This Row],[Rating]]&lt;4.5, "Average", JumiaTable[[#This Row],[Rating]]&gt; 4.4,"Excellent",JumiaTable[[#This Row],[Rating]]=" ", "No Rating")</f>
        <v>Average</v>
      </c>
    </row>
    <row r="11" spans="1:12" x14ac:dyDescent="0.35">
      <c r="A11" t="s">
        <v>55</v>
      </c>
      <c r="B11" s="2">
        <v>332</v>
      </c>
      <c r="C11" s="2">
        <v>684</v>
      </c>
      <c r="D11" s="3">
        <f>JumiaTable[[#This Row],[old price]]-JumiaTable[[#This Row],[Current price]]</f>
        <v>352</v>
      </c>
      <c r="E11" s="1">
        <v>0.51</v>
      </c>
      <c r="F11" s="1" t="str" cm="1">
        <f t="array" ref="F11">_xlfn.IFS(JumiaTable[[#This Row],[Discount %]]&lt;20%, "Low Discount", JumiaTable[[#This Row],[Discount %]]&lt;40%, "Medium", JumiaTable[[#This Row],[Discount %]]&gt;=40%, "High Discount")</f>
        <v>High Discount</v>
      </c>
      <c r="G11">
        <v>2</v>
      </c>
      <c r="H11" s="4">
        <v>5</v>
      </c>
      <c r="I11" t="str" cm="1">
        <f t="array" ref="I11">_xlfn.IFS(JumiaTable[[#This Row],[Rating]]&lt;3, "Poor", JumiaTable[[#This Row],[Rating]]&lt;4.5, "Average", JumiaTable[[#This Row],[Rating]]&gt; 4.4,"Excellent",JumiaTable[[#This Row],[Rating]]=" ", "No Rating")</f>
        <v>Excellent</v>
      </c>
    </row>
    <row r="12" spans="1:12" x14ac:dyDescent="0.35">
      <c r="A12" t="s">
        <v>59</v>
      </c>
      <c r="B12" s="2">
        <v>195</v>
      </c>
      <c r="C12" s="2">
        <v>360</v>
      </c>
      <c r="D12" s="3">
        <f>JumiaTable[[#This Row],[old price]]-JumiaTable[[#This Row],[Current price]]</f>
        <v>165</v>
      </c>
      <c r="E12" s="1">
        <v>0.46</v>
      </c>
      <c r="F12" s="1" t="str" cm="1">
        <f t="array" ref="F12">_xlfn.IFS(JumiaTable[[#This Row],[Discount %]]&lt;20%, "Low Discount", JumiaTable[[#This Row],[Discount %]]&lt;40%, "Medium", JumiaTable[[#This Row],[Discount %]]&gt;=40%, "High Discount")</f>
        <v>High Discount</v>
      </c>
      <c r="G12">
        <v>2</v>
      </c>
      <c r="H12" s="4">
        <v>5</v>
      </c>
      <c r="I12" t="str" cm="1">
        <f t="array" ref="I12">_xlfn.IFS(JumiaTable[[#This Row],[Rating]]&lt;3, "Poor", JumiaTable[[#This Row],[Rating]]&lt;4.5, "Average", JumiaTable[[#This Row],[Rating]]&gt; 4.4,"Excellent",JumiaTable[[#This Row],[Rating]]=" ", "No Rating")</f>
        <v>Excellent</v>
      </c>
    </row>
    <row r="13" spans="1:12" x14ac:dyDescent="0.35">
      <c r="A13" t="s">
        <v>119</v>
      </c>
      <c r="B13" s="2">
        <v>171</v>
      </c>
      <c r="C13" s="2">
        <v>360</v>
      </c>
      <c r="D13" s="3">
        <f>JumiaTable[[#This Row],[old price]]-JumiaTable[[#This Row],[Current price]]</f>
        <v>189</v>
      </c>
      <c r="E13" s="1">
        <v>0.53</v>
      </c>
      <c r="F13" s="1" t="str" cm="1">
        <f t="array" ref="F13">_xlfn.IFS(JumiaTable[[#This Row],[Discount %]]&lt;20%, "Low Discount", JumiaTable[[#This Row],[Discount %]]&lt;40%, "Medium", JumiaTable[[#This Row],[Discount %]]&gt;=40%, "High Discount")</f>
        <v>High Discount</v>
      </c>
      <c r="G13">
        <v>2</v>
      </c>
      <c r="H13" s="4">
        <v>5</v>
      </c>
      <c r="I13" t="str" cm="1">
        <f t="array" ref="I13">_xlfn.IFS(JumiaTable[[#This Row],[Rating]]&lt;3, "Poor", JumiaTable[[#This Row],[Rating]]&lt;4.5, "Average", JumiaTable[[#This Row],[Rating]]&gt; 4.4,"Excellent",JumiaTable[[#This Row],[Rating]]=" ", "No Rating")</f>
        <v>Excellent</v>
      </c>
    </row>
    <row r="14" spans="1:12" x14ac:dyDescent="0.35">
      <c r="A14" t="s">
        <v>124</v>
      </c>
      <c r="B14" s="8">
        <v>1800</v>
      </c>
      <c r="C14" s="2">
        <v>2700</v>
      </c>
      <c r="D14" s="3">
        <f>JumiaTable[[#This Row],[old price]]-JumiaTable[[#This Row],[Current price]]</f>
        <v>900</v>
      </c>
      <c r="E14" s="1">
        <v>0.38</v>
      </c>
      <c r="F14" s="1" t="str" cm="1">
        <f t="array" ref="F14">_xlfn.IFS(JumiaTable[[#This Row],[Discount %]]&lt;20%, "Low Discount", JumiaTable[[#This Row],[Discount %]]&lt;40%, "Medium", JumiaTable[[#This Row],[Discount %]]&gt;=40%, "High Discount")</f>
        <v>Medium</v>
      </c>
      <c r="G14">
        <v>2</v>
      </c>
      <c r="H14" s="4">
        <v>4.5</v>
      </c>
      <c r="I14" t="str" cm="1">
        <f t="array" ref="I14">_xlfn.IFS(JumiaTable[[#This Row],[Rating]]&lt;3, "Poor", JumiaTable[[#This Row],[Rating]]&lt;4.5, "Average", JumiaTable[[#This Row],[Rating]]&gt; 4.4,"Excellent",JumiaTable[[#This Row],[Rating]]=" ", "No Rating")</f>
        <v>Excellent</v>
      </c>
    </row>
    <row r="15" spans="1:12" x14ac:dyDescent="0.35">
      <c r="A15" t="s">
        <v>62</v>
      </c>
      <c r="B15" s="3">
        <v>2025</v>
      </c>
      <c r="C15" s="3">
        <v>3971</v>
      </c>
      <c r="D15" s="3">
        <f>JumiaTable[[#This Row],[old price]]-JumiaTable[[#This Row],[Current price]]</f>
        <v>1946</v>
      </c>
      <c r="E15" s="1">
        <v>0.49</v>
      </c>
      <c r="F15" s="1" t="str" cm="1">
        <f t="array" ref="F15">_xlfn.IFS(JumiaTable[[#This Row],[Discount %]]&lt;20%, "Low Discount", JumiaTable[[#This Row],[Discount %]]&lt;40%, "Medium", JumiaTable[[#This Row],[Discount %]]&gt;=40%, "High Discount")</f>
        <v>High Discount</v>
      </c>
      <c r="G15">
        <v>3</v>
      </c>
      <c r="H15" s="4">
        <v>5</v>
      </c>
      <c r="I15" t="str" cm="1">
        <f t="array" ref="I15">_xlfn.IFS(JumiaTable[[#This Row],[Rating]]&lt;3, "Poor", JumiaTable[[#This Row],[Rating]]&lt;4.5, "Average", JumiaTable[[#This Row],[Rating]]&gt; 4.4,"Excellent",JumiaTable[[#This Row],[Rating]]=" ", "No Rating")</f>
        <v>Excellent</v>
      </c>
    </row>
    <row r="16" spans="1:12" x14ac:dyDescent="0.35">
      <c r="A16" t="s">
        <v>21</v>
      </c>
      <c r="B16" s="3">
        <v>1740</v>
      </c>
      <c r="C16" s="3">
        <v>2356</v>
      </c>
      <c r="D16" s="3">
        <f>JumiaTable[[#This Row],[old price]]-JumiaTable[[#This Row],[Current price]]</f>
        <v>616</v>
      </c>
      <c r="E16" s="1">
        <v>0.26</v>
      </c>
      <c r="F16" s="1" t="str" cm="1">
        <f t="array" ref="F16">_xlfn.IFS(JumiaTable[[#This Row],[Discount %]]&lt;20%, "Low Discount", JumiaTable[[#This Row],[Discount %]]&lt;40%, "Medium", JumiaTable[[#This Row],[Discount %]]&gt;=40%, "High Discount")</f>
        <v>Medium</v>
      </c>
      <c r="G16">
        <v>5</v>
      </c>
      <c r="H16" s="4">
        <v>4.8</v>
      </c>
      <c r="I16" t="str" cm="1">
        <f t="array" ref="I16">_xlfn.IFS(JumiaTable[[#This Row],[Rating]]&lt;3, "Poor", JumiaTable[[#This Row],[Rating]]&lt;4.5, "Average", JumiaTable[[#This Row],[Rating]]&gt; 4.4,"Excellent",JumiaTable[[#This Row],[Rating]]=" ", "No Rating")</f>
        <v>Excellent</v>
      </c>
    </row>
    <row r="17" spans="1:9" x14ac:dyDescent="0.35">
      <c r="A17" t="s">
        <v>34</v>
      </c>
      <c r="B17" s="3">
        <v>1274</v>
      </c>
      <c r="C17" s="3">
        <v>2800</v>
      </c>
      <c r="D17" s="3">
        <f>JumiaTable[[#This Row],[old price]]-JumiaTable[[#This Row],[Current price]]</f>
        <v>1526</v>
      </c>
      <c r="E17" s="1">
        <v>0.55000000000000004</v>
      </c>
      <c r="F17" s="1" t="str" cm="1">
        <f t="array" ref="F17">_xlfn.IFS(JumiaTable[[#This Row],[Discount %]]&lt;20%, "Low Discount", JumiaTable[[#This Row],[Discount %]]&lt;40%, "Medium", JumiaTable[[#This Row],[Discount %]]&gt;=40%, "High Discount")</f>
        <v>High Discount</v>
      </c>
      <c r="G17">
        <v>5</v>
      </c>
      <c r="H17" s="4">
        <v>4.8</v>
      </c>
      <c r="I17" t="str" cm="1">
        <f t="array" ref="I17">_xlfn.IFS(JumiaTable[[#This Row],[Rating]]&lt;3, "Poor", JumiaTable[[#This Row],[Rating]]&lt;4.5, "Average", JumiaTable[[#This Row],[Rating]]&gt; 4.4,"Excellent",JumiaTable[[#This Row],[Rating]]=" ", "No Rating")</f>
        <v>Excellent</v>
      </c>
    </row>
    <row r="18" spans="1:9" x14ac:dyDescent="0.35">
      <c r="A18" t="s">
        <v>37</v>
      </c>
      <c r="B18" s="3">
        <v>1600</v>
      </c>
      <c r="C18" s="3">
        <v>2929</v>
      </c>
      <c r="D18" s="3">
        <f>JumiaTable[[#This Row],[old price]]-JumiaTable[[#This Row],[Current price]]</f>
        <v>1329</v>
      </c>
      <c r="E18" s="1">
        <v>0.45</v>
      </c>
      <c r="F18" s="1" t="str" cm="1">
        <f t="array" ref="F18">_xlfn.IFS(JumiaTable[[#This Row],[Discount %]]&lt;20%, "Low Discount", JumiaTable[[#This Row],[Discount %]]&lt;40%, "Medium", JumiaTable[[#This Row],[Discount %]]&gt;=40%, "High Discount")</f>
        <v>High Discount</v>
      </c>
      <c r="G18">
        <v>5</v>
      </c>
      <c r="H18" s="4">
        <v>3.8</v>
      </c>
      <c r="I18" t="str" cm="1">
        <f t="array" ref="I18">_xlfn.IFS(JumiaTable[[#This Row],[Rating]]&lt;3, "Poor", JumiaTable[[#This Row],[Rating]]&lt;4.5, "Average", JumiaTable[[#This Row],[Rating]]&gt; 4.4,"Excellent",JumiaTable[[#This Row],[Rating]]=" ", "No Rating")</f>
        <v>Average</v>
      </c>
    </row>
    <row r="19" spans="1:9" x14ac:dyDescent="0.35">
      <c r="A19" t="s">
        <v>65</v>
      </c>
      <c r="B19" s="3">
        <v>2999</v>
      </c>
      <c r="C19" s="3">
        <v>3699</v>
      </c>
      <c r="D19" s="3">
        <f>JumiaTable[[#This Row],[old price]]-JumiaTable[[#This Row],[Current price]]</f>
        <v>700</v>
      </c>
      <c r="E19" s="1">
        <v>0.19</v>
      </c>
      <c r="F19" s="1" t="str" cm="1">
        <f t="array" ref="F19">_xlfn.IFS(JumiaTable[[#This Row],[Discount %]]&lt;20%, "Low Discount", JumiaTable[[#This Row],[Discount %]]&lt;40%, "Medium", JumiaTable[[#This Row],[Discount %]]&gt;=40%, "High Discount")</f>
        <v>Low Discount</v>
      </c>
      <c r="G19">
        <v>5</v>
      </c>
      <c r="H19" s="4">
        <v>4.5999999999999996</v>
      </c>
      <c r="I19" t="str" cm="1">
        <f t="array" ref="I19">_xlfn.IFS(JumiaTable[[#This Row],[Rating]]&lt;3, "Poor", JumiaTable[[#This Row],[Rating]]&lt;4.5, "Average", JumiaTable[[#This Row],[Rating]]&gt; 4.4,"Excellent",JumiaTable[[#This Row],[Rating]]=" ", "No Rating")</f>
        <v>Excellent</v>
      </c>
    </row>
    <row r="20" spans="1:9" x14ac:dyDescent="0.35">
      <c r="A20" t="s">
        <v>211</v>
      </c>
      <c r="B20" s="3">
        <v>3750</v>
      </c>
      <c r="C20" s="3">
        <v>6143</v>
      </c>
      <c r="D20" s="3">
        <f>JumiaTable[[#This Row],[old price]]-JumiaTable[[#This Row],[Current price]]</f>
        <v>2393</v>
      </c>
      <c r="E20" s="1">
        <v>0.39</v>
      </c>
      <c r="F20" s="1" t="str" cm="1">
        <f t="array" ref="F20">_xlfn.IFS(JumiaTable[[#This Row],[Discount %]]&lt;20%, "Low Discount", JumiaTable[[#This Row],[Discount %]]&lt;40%, "Medium", JumiaTable[[#This Row],[Discount %]]&gt;=40%, "High Discount")</f>
        <v>Medium</v>
      </c>
      <c r="G20">
        <v>5</v>
      </c>
      <c r="H20" s="4">
        <v>3</v>
      </c>
      <c r="I20" t="str" cm="1">
        <f t="array" ref="I20">_xlfn.IFS(JumiaTable[[#This Row],[Rating]]&lt;3, "Poor", JumiaTable[[#This Row],[Rating]]&lt;4.5, "Average", JumiaTable[[#This Row],[Rating]]&gt; 4.4,"Excellent",JumiaTable[[#This Row],[Rating]]=" ", "No Rating")</f>
        <v>Average</v>
      </c>
    </row>
    <row r="21" spans="1:9" x14ac:dyDescent="0.35">
      <c r="A21" t="s">
        <v>217</v>
      </c>
      <c r="B21" s="3">
        <v>2300</v>
      </c>
      <c r="C21" s="3">
        <v>3240</v>
      </c>
      <c r="D21" s="3">
        <f>JumiaTable[[#This Row],[old price]]-JumiaTable[[#This Row],[Current price]]</f>
        <v>940</v>
      </c>
      <c r="E21" s="1">
        <v>0.28999999999999998</v>
      </c>
      <c r="F21" s="1" t="str" cm="1">
        <f t="array" ref="F21">_xlfn.IFS(JumiaTable[[#This Row],[Discount %]]&lt;20%, "Low Discount", JumiaTable[[#This Row],[Discount %]]&lt;40%, "Medium", JumiaTable[[#This Row],[Discount %]]&gt;=40%, "High Discount")</f>
        <v>Medium</v>
      </c>
      <c r="G21">
        <v>5</v>
      </c>
      <c r="H21" s="4">
        <v>3</v>
      </c>
      <c r="I21" t="str" cm="1">
        <f t="array" ref="I21">_xlfn.IFS(JumiaTable[[#This Row],[Rating]]&lt;3, "Poor", JumiaTable[[#This Row],[Rating]]&lt;4.5, "Average", JumiaTable[[#This Row],[Rating]]&gt; 4.4,"Excellent",JumiaTable[[#This Row],[Rating]]=" ", "No Rating")</f>
        <v>Average</v>
      </c>
    </row>
    <row r="22" spans="1:9" x14ac:dyDescent="0.35">
      <c r="A22" t="s">
        <v>223</v>
      </c>
      <c r="B22" s="2">
        <v>509</v>
      </c>
      <c r="C22" s="2">
        <v>899</v>
      </c>
      <c r="D22" s="3">
        <f>JumiaTable[[#This Row],[old price]]-JumiaTable[[#This Row],[Current price]]</f>
        <v>390</v>
      </c>
      <c r="E22" s="1">
        <v>0.43</v>
      </c>
      <c r="F22" s="1" t="str" cm="1">
        <f t="array" ref="F22">_xlfn.IFS(JumiaTable[[#This Row],[Discount %]]&lt;20%, "Low Discount", JumiaTable[[#This Row],[Discount %]]&lt;40%, "Medium", JumiaTable[[#This Row],[Discount %]]&gt;=40%, "High Discount")</f>
        <v>High Discount</v>
      </c>
      <c r="G22">
        <v>5</v>
      </c>
      <c r="H22" s="4">
        <v>3</v>
      </c>
      <c r="I22" t="str" cm="1">
        <f t="array" ref="I22">_xlfn.IFS(JumiaTable[[#This Row],[Rating]]&lt;3, "Poor", JumiaTable[[#This Row],[Rating]]&lt;4.5, "Average", JumiaTable[[#This Row],[Rating]]&gt; 4.4,"Excellent",JumiaTable[[#This Row],[Rating]]=" ", "No Rating")</f>
        <v>Average</v>
      </c>
    </row>
    <row r="23" spans="1:9" x14ac:dyDescent="0.35">
      <c r="A23" t="s">
        <v>49</v>
      </c>
      <c r="B23" s="2">
        <v>501</v>
      </c>
      <c r="C23" s="2">
        <v>860</v>
      </c>
      <c r="D23" s="3">
        <f>JumiaTable[[#This Row],[old price]]-JumiaTable[[#This Row],[Current price]]</f>
        <v>359</v>
      </c>
      <c r="E23" s="1">
        <v>0.42</v>
      </c>
      <c r="F23" s="1" t="str" cm="1">
        <f t="array" ref="F23">_xlfn.IFS(JumiaTable[[#This Row],[Discount %]]&lt;20%, "Low Discount", JumiaTable[[#This Row],[Discount %]]&lt;40%, "Medium", JumiaTable[[#This Row],[Discount %]]&gt;=40%, "High Discount")</f>
        <v>High Discount</v>
      </c>
      <c r="G23">
        <v>6</v>
      </c>
      <c r="H23" s="4">
        <v>4.5</v>
      </c>
      <c r="I23" t="str" cm="1">
        <f t="array" ref="I23">_xlfn.IFS(JumiaTable[[#This Row],[Rating]]&lt;3, "Poor", JumiaTable[[#This Row],[Rating]]&lt;4.5, "Average", JumiaTable[[#This Row],[Rating]]&gt; 4.4,"Excellent",JumiaTable[[#This Row],[Rating]]=" ", "No Rating")</f>
        <v>Excellent</v>
      </c>
    </row>
    <row r="24" spans="1:9" x14ac:dyDescent="0.35">
      <c r="A24" t="s">
        <v>77</v>
      </c>
      <c r="B24" s="2">
        <v>880</v>
      </c>
      <c r="C24" s="3">
        <v>1350</v>
      </c>
      <c r="D24" s="3">
        <f>JumiaTable[[#This Row],[old price]]-JumiaTable[[#This Row],[Current price]]</f>
        <v>470</v>
      </c>
      <c r="E24" s="1">
        <v>0.35</v>
      </c>
      <c r="F24" s="1" t="str" cm="1">
        <f t="array" ref="F24">_xlfn.IFS(JumiaTable[[#This Row],[Discount %]]&lt;20%, "Low Discount", JumiaTable[[#This Row],[Discount %]]&lt;40%, "Medium", JumiaTable[[#This Row],[Discount %]]&gt;=40%, "High Discount")</f>
        <v>Medium</v>
      </c>
      <c r="G24">
        <v>6</v>
      </c>
      <c r="H24" s="4">
        <v>4</v>
      </c>
      <c r="I24" t="str" cm="1">
        <f t="array" ref="I24">_xlfn.IFS(JumiaTable[[#This Row],[Rating]]&lt;3, "Poor", JumiaTable[[#This Row],[Rating]]&lt;4.5, "Average", JumiaTable[[#This Row],[Rating]]&gt; 4.4,"Excellent",JumiaTable[[#This Row],[Rating]]=" ", "No Rating")</f>
        <v>Average</v>
      </c>
    </row>
    <row r="25" spans="1:9" x14ac:dyDescent="0.35">
      <c r="A25" t="s">
        <v>181</v>
      </c>
      <c r="B25" s="3">
        <v>2170</v>
      </c>
      <c r="C25" s="3">
        <v>2500</v>
      </c>
      <c r="D25" s="3">
        <f>JumiaTable[[#This Row],[old price]]-JumiaTable[[#This Row],[Current price]]</f>
        <v>330</v>
      </c>
      <c r="E25" s="1">
        <v>0.13</v>
      </c>
      <c r="F25" s="1" t="str" cm="1">
        <f t="array" ref="F25">_xlfn.IFS(JumiaTable[[#This Row],[Discount %]]&lt;20%, "Low Discount", JumiaTable[[#This Row],[Discount %]]&lt;40%, "Medium", JumiaTable[[#This Row],[Discount %]]&gt;=40%, "High Discount")</f>
        <v>Low Discount</v>
      </c>
      <c r="G25">
        <v>6</v>
      </c>
      <c r="H25" s="4">
        <v>2.5</v>
      </c>
      <c r="I25" t="str" cm="1">
        <f t="array" ref="I25">_xlfn.IFS(JumiaTable[[#This Row],[Rating]]&lt;3, "Poor", JumiaTable[[#This Row],[Rating]]&lt;4.5, "Average", JumiaTable[[#This Row],[Rating]]&gt; 4.4,"Excellent",JumiaTable[[#This Row],[Rating]]=" ", "No Rating")</f>
        <v>Poor</v>
      </c>
    </row>
    <row r="26" spans="1:9" x14ac:dyDescent="0.35">
      <c r="A26" t="s">
        <v>205</v>
      </c>
      <c r="B26" s="2">
        <v>990</v>
      </c>
      <c r="C26" s="3">
        <v>1814</v>
      </c>
      <c r="D26" s="3">
        <f>JumiaTable[[#This Row],[old price]]-JumiaTable[[#This Row],[Current price]]</f>
        <v>824</v>
      </c>
      <c r="E26" s="1">
        <v>0.45</v>
      </c>
      <c r="F26" s="1" t="str" cm="1">
        <f t="array" ref="F26">_xlfn.IFS(JumiaTable[[#This Row],[Discount %]]&lt;20%, "Low Discount", JumiaTable[[#This Row],[Discount %]]&lt;40%, "Medium", JumiaTable[[#This Row],[Discount %]]&gt;=40%, "High Discount")</f>
        <v>High Discount</v>
      </c>
      <c r="G26">
        <v>6</v>
      </c>
      <c r="H26" s="4">
        <v>2.2000000000000002</v>
      </c>
      <c r="I26" t="str" cm="1">
        <f t="array" ref="I26">_xlfn.IFS(JumiaTable[[#This Row],[Rating]]&lt;3, "Poor", JumiaTable[[#This Row],[Rating]]&lt;4.5, "Average", JumiaTable[[#This Row],[Rating]]&gt; 4.4,"Excellent",JumiaTable[[#This Row],[Rating]]=" ", "No Rating")</f>
        <v>Poor</v>
      </c>
    </row>
    <row r="27" spans="1:9" x14ac:dyDescent="0.35">
      <c r="A27" t="s">
        <v>220</v>
      </c>
      <c r="B27" s="2">
        <v>345</v>
      </c>
      <c r="C27" s="2">
        <v>602</v>
      </c>
      <c r="D27" s="3">
        <f>JumiaTable[[#This Row],[old price]]-JumiaTable[[#This Row],[Current price]]</f>
        <v>257</v>
      </c>
      <c r="E27" s="1">
        <v>0.43</v>
      </c>
      <c r="F27" s="1" t="str" cm="1">
        <f t="array" ref="F27">_xlfn.IFS(JumiaTable[[#This Row],[Discount %]]&lt;20%, "Low Discount", JumiaTable[[#This Row],[Discount %]]&lt;40%, "Medium", JumiaTable[[#This Row],[Discount %]]&gt;=40%, "High Discount")</f>
        <v>High Discount</v>
      </c>
      <c r="G27">
        <v>6</v>
      </c>
      <c r="H27" s="4">
        <v>2.2999999999999998</v>
      </c>
      <c r="I27" t="str" cm="1">
        <f t="array" ref="I27">_xlfn.IFS(JumiaTable[[#This Row],[Rating]]&lt;3, "Poor", JumiaTable[[#This Row],[Rating]]&lt;4.5, "Average", JumiaTable[[#This Row],[Rating]]&gt; 4.4,"Excellent",JumiaTable[[#This Row],[Rating]]=" ", "No Rating")</f>
        <v>Poor</v>
      </c>
    </row>
    <row r="28" spans="1:9" x14ac:dyDescent="0.35">
      <c r="A28" t="s">
        <v>226</v>
      </c>
      <c r="B28" s="2">
        <v>968</v>
      </c>
      <c r="C28" s="3">
        <v>1814</v>
      </c>
      <c r="D28" s="3">
        <f>JumiaTable[[#This Row],[old price]]-JumiaTable[[#This Row],[Current price]]</f>
        <v>846</v>
      </c>
      <c r="E28" s="1">
        <v>0.47</v>
      </c>
      <c r="F28" s="1" t="str" cm="1">
        <f t="array" ref="F28">_xlfn.IFS(JumiaTable[[#This Row],[Discount %]]&lt;20%, "Low Discount", JumiaTable[[#This Row],[Discount %]]&lt;40%, "Medium", JumiaTable[[#This Row],[Discount %]]&gt;=40%, "High Discount")</f>
        <v>High Discount</v>
      </c>
      <c r="G28">
        <v>6</v>
      </c>
      <c r="H28" s="4">
        <v>2.2000000000000002</v>
      </c>
      <c r="I28" t="str" cm="1">
        <f t="array" ref="I28">_xlfn.IFS(JumiaTable[[#This Row],[Rating]]&lt;3, "Poor", JumiaTable[[#This Row],[Rating]]&lt;4.5, "Average", JumiaTable[[#This Row],[Rating]]&gt; 4.4,"Excellent",JumiaTable[[#This Row],[Rating]]=" ", "No Rating")</f>
        <v>Poor</v>
      </c>
    </row>
    <row r="29" spans="1:9" x14ac:dyDescent="0.35">
      <c r="A29" t="s">
        <v>17</v>
      </c>
      <c r="B29" s="3">
        <v>1580</v>
      </c>
      <c r="C29" s="3">
        <v>2499</v>
      </c>
      <c r="D29" s="3">
        <f>JumiaTable[[#This Row],[old price]]-JumiaTable[[#This Row],[Current price]]</f>
        <v>919</v>
      </c>
      <c r="E29" s="1">
        <v>0.37</v>
      </c>
      <c r="F29" s="1" t="str" cm="1">
        <f t="array" ref="F29">_xlfn.IFS(JumiaTable[[#This Row],[Discount %]]&lt;20%, "Low Discount", JumiaTable[[#This Row],[Discount %]]&lt;40%, "Medium", JumiaTable[[#This Row],[Discount %]]&gt;=40%, "High Discount")</f>
        <v>Medium</v>
      </c>
      <c r="G29">
        <v>7</v>
      </c>
      <c r="H29" s="4">
        <v>4.7</v>
      </c>
      <c r="I29" t="str" cm="1">
        <f t="array" ref="I29">_xlfn.IFS(JumiaTable[[#This Row],[Rating]]&lt;3, "Poor", JumiaTable[[#This Row],[Rating]]&lt;4.5, "Average", JumiaTable[[#This Row],[Rating]]&gt; 4.4,"Excellent",JumiaTable[[#This Row],[Rating]]=" ", "No Rating")</f>
        <v>Excellent</v>
      </c>
    </row>
    <row r="30" spans="1:9" x14ac:dyDescent="0.35">
      <c r="A30" t="s">
        <v>84</v>
      </c>
      <c r="B30" s="3">
        <v>2048</v>
      </c>
      <c r="C30" s="3">
        <v>4500</v>
      </c>
      <c r="D30" s="3">
        <f>JumiaTable[[#This Row],[old price]]-JumiaTable[[#This Row],[Current price]]</f>
        <v>2452</v>
      </c>
      <c r="E30" s="1">
        <v>0.54</v>
      </c>
      <c r="F30" s="1" t="str" cm="1">
        <f t="array" ref="F30">_xlfn.IFS(JumiaTable[[#This Row],[Discount %]]&lt;20%, "Low Discount", JumiaTable[[#This Row],[Discount %]]&lt;40%, "Medium", JumiaTable[[#This Row],[Discount %]]&gt;=40%, "High Discount")</f>
        <v>High Discount</v>
      </c>
      <c r="G30">
        <v>7</v>
      </c>
      <c r="H30" s="4">
        <v>4.3</v>
      </c>
      <c r="I30" t="str" cm="1">
        <f t="array" ref="I30">_xlfn.IFS(JumiaTable[[#This Row],[Rating]]&lt;3, "Poor", JumiaTable[[#This Row],[Rating]]&lt;4.5, "Average", JumiaTable[[#This Row],[Rating]]&gt; 4.4,"Excellent",JumiaTable[[#This Row],[Rating]]=" ", "No Rating")</f>
        <v>Average</v>
      </c>
    </row>
    <row r="31" spans="1:9" x14ac:dyDescent="0.35">
      <c r="A31" t="s">
        <v>208</v>
      </c>
      <c r="B31" s="3">
        <v>1000</v>
      </c>
      <c r="C31" s="3">
        <v>2000</v>
      </c>
      <c r="D31" s="3">
        <f>JumiaTable[[#This Row],[old price]]-JumiaTable[[#This Row],[Current price]]</f>
        <v>1000</v>
      </c>
      <c r="E31" s="1">
        <v>0.5</v>
      </c>
      <c r="F31" s="1" t="str" cm="1">
        <f t="array" ref="F31">_xlfn.IFS(JumiaTable[[#This Row],[Discount %]]&lt;20%, "Low Discount", JumiaTable[[#This Row],[Discount %]]&lt;40%, "Medium", JumiaTable[[#This Row],[Discount %]]&gt;=40%, "High Discount")</f>
        <v>High Discount</v>
      </c>
      <c r="G31">
        <v>7</v>
      </c>
      <c r="H31" s="4">
        <v>2.2999999999999998</v>
      </c>
      <c r="I31" t="str" cm="1">
        <f t="array" ref="I31">_xlfn.IFS(JumiaTable[[#This Row],[Rating]]&lt;3, "Poor", JumiaTable[[#This Row],[Rating]]&lt;4.5, "Average", JumiaTable[[#This Row],[Rating]]&gt; 4.4,"Excellent",JumiaTable[[#This Row],[Rating]]=" ", "No Rating")</f>
        <v>Poor</v>
      </c>
    </row>
    <row r="32" spans="1:9" x14ac:dyDescent="0.35">
      <c r="A32" t="s">
        <v>228</v>
      </c>
      <c r="B32" s="3">
        <v>1570</v>
      </c>
      <c r="C32" s="3">
        <v>2988</v>
      </c>
      <c r="D32" s="3">
        <f>JumiaTable[[#This Row],[old price]]-JumiaTable[[#This Row],[Current price]]</f>
        <v>1418</v>
      </c>
      <c r="E32" s="1">
        <v>0.47</v>
      </c>
      <c r="F32" s="1" t="str" cm="1">
        <f t="array" ref="F32">_xlfn.IFS(JumiaTable[[#This Row],[Discount %]]&lt;20%, "Low Discount", JumiaTable[[#This Row],[Discount %]]&lt;40%, "Medium", JumiaTable[[#This Row],[Discount %]]&gt;=40%, "High Discount")</f>
        <v>High Discount</v>
      </c>
      <c r="G32">
        <v>7</v>
      </c>
      <c r="H32" s="4">
        <v>2.1</v>
      </c>
      <c r="I32" t="str" cm="1">
        <f t="array" ref="I32">_xlfn.IFS(JumiaTable[[#This Row],[Rating]]&lt;3, "Poor", JumiaTable[[#This Row],[Rating]]&lt;4.5, "Average", JumiaTable[[#This Row],[Rating]]&gt; 4.4,"Excellent",JumiaTable[[#This Row],[Rating]]=" ", "No Rating")</f>
        <v>Poor</v>
      </c>
    </row>
    <row r="33" spans="1:9" x14ac:dyDescent="0.35">
      <c r="A33" t="s">
        <v>52</v>
      </c>
      <c r="B33" s="3">
        <v>1680</v>
      </c>
      <c r="C33" s="3">
        <v>2499</v>
      </c>
      <c r="D33" s="3">
        <f>JumiaTable[[#This Row],[old price]]-JumiaTable[[#This Row],[Current price]]</f>
        <v>819</v>
      </c>
      <c r="E33" s="1">
        <v>0.33</v>
      </c>
      <c r="F33" s="1" t="str" cm="1">
        <f t="array" ref="F33">_xlfn.IFS(JumiaTable[[#This Row],[Discount %]]&lt;20%, "Low Discount", JumiaTable[[#This Row],[Discount %]]&lt;40%, "Medium", JumiaTable[[#This Row],[Discount %]]&gt;=40%, "High Discount")</f>
        <v>Medium</v>
      </c>
      <c r="G33">
        <v>9</v>
      </c>
      <c r="H33" s="4">
        <v>4.2</v>
      </c>
      <c r="I33" t="str" cm="1">
        <f t="array" ref="I33">_xlfn.IFS(JumiaTable[[#This Row],[Rating]]&lt;3, "Poor", JumiaTable[[#This Row],[Rating]]&lt;4.5, "Average", JumiaTable[[#This Row],[Rating]]&gt; 4.4,"Excellent",JumiaTable[[#This Row],[Rating]]=" ", "No Rating")</f>
        <v>Average</v>
      </c>
    </row>
    <row r="34" spans="1:9" x14ac:dyDescent="0.35">
      <c r="A34" t="s">
        <v>101</v>
      </c>
      <c r="B34" s="2">
        <v>185</v>
      </c>
      <c r="C34" s="2">
        <v>382</v>
      </c>
      <c r="D34" s="3">
        <f>JumiaTable[[#This Row],[old price]]-JumiaTable[[#This Row],[Current price]]</f>
        <v>197</v>
      </c>
      <c r="E34" s="1">
        <v>0.52</v>
      </c>
      <c r="F34" s="1" t="str" cm="1">
        <f t="array" ref="F34">_xlfn.IFS(JumiaTable[[#This Row],[Discount %]]&lt;20%, "Low Discount", JumiaTable[[#This Row],[Discount %]]&lt;40%, "Medium", JumiaTable[[#This Row],[Discount %]]&gt;=40%, "High Discount")</f>
        <v>High Discount</v>
      </c>
      <c r="G34">
        <v>9</v>
      </c>
      <c r="H34" s="4">
        <v>4.3</v>
      </c>
      <c r="I34" t="str" cm="1">
        <f t="array" ref="I34">_xlfn.IFS(JumiaTable[[#This Row],[Rating]]&lt;3, "Poor", JumiaTable[[#This Row],[Rating]]&lt;4.5, "Average", JumiaTable[[#This Row],[Rating]]&gt; 4.4,"Excellent",JumiaTable[[#This Row],[Rating]]=" ", "No Rating")</f>
        <v>Average</v>
      </c>
    </row>
    <row r="35" spans="1:9" x14ac:dyDescent="0.35">
      <c r="A35" t="s">
        <v>107</v>
      </c>
      <c r="B35" s="3">
        <v>1820</v>
      </c>
      <c r="C35" s="3">
        <v>3490</v>
      </c>
      <c r="D35" s="3">
        <f>JumiaTable[[#This Row],[old price]]-JumiaTable[[#This Row],[Current price]]</f>
        <v>1670</v>
      </c>
      <c r="E35" s="1">
        <v>0.48</v>
      </c>
      <c r="F35" s="1" t="str" cm="1">
        <f t="array" ref="F35">_xlfn.IFS(JumiaTable[[#This Row],[Discount %]]&lt;20%, "Low Discount", JumiaTable[[#This Row],[Discount %]]&lt;40%, "Medium", JumiaTable[[#This Row],[Discount %]]&gt;=40%, "High Discount")</f>
        <v>High Discount</v>
      </c>
      <c r="G35">
        <v>9</v>
      </c>
      <c r="H35" s="4">
        <v>4.3</v>
      </c>
      <c r="I35" t="str" cm="1">
        <f t="array" ref="I35">_xlfn.IFS(JumiaTable[[#This Row],[Rating]]&lt;3, "Poor", JumiaTable[[#This Row],[Rating]]&lt;4.5, "Average", JumiaTable[[#This Row],[Rating]]&gt; 4.4,"Excellent",JumiaTable[[#This Row],[Rating]]=" ", "No Rating")</f>
        <v>Average</v>
      </c>
    </row>
    <row r="36" spans="1:9" x14ac:dyDescent="0.35">
      <c r="A36" t="s">
        <v>185</v>
      </c>
      <c r="B36" s="2">
        <v>458</v>
      </c>
      <c r="C36" s="2">
        <v>986</v>
      </c>
      <c r="D36" s="3">
        <f>JumiaTable[[#This Row],[old price]]-JumiaTable[[#This Row],[Current price]]</f>
        <v>528</v>
      </c>
      <c r="E36" s="1">
        <v>0.54</v>
      </c>
      <c r="F36" s="1" t="str" cm="1">
        <f t="array" ref="F36">_xlfn.IFS(JumiaTable[[#This Row],[Discount %]]&lt;20%, "Low Discount", JumiaTable[[#This Row],[Discount %]]&lt;40%, "Medium", JumiaTable[[#This Row],[Discount %]]&gt;=40%, "High Discount")</f>
        <v>High Discount</v>
      </c>
      <c r="G36">
        <v>10</v>
      </c>
      <c r="H36" s="4">
        <v>3</v>
      </c>
      <c r="I36" t="str" cm="1">
        <f t="array" ref="I36">_xlfn.IFS(JumiaTable[[#This Row],[Rating]]&lt;3, "Poor", JumiaTable[[#This Row],[Rating]]&lt;4.5, "Average", JumiaTable[[#This Row],[Rating]]&gt; 4.4,"Excellent",JumiaTable[[#This Row],[Rating]]=" ", "No Rating")</f>
        <v>Average</v>
      </c>
    </row>
    <row r="37" spans="1:9" x14ac:dyDescent="0.35">
      <c r="A37" t="s">
        <v>41</v>
      </c>
      <c r="B37" s="2">
        <v>799</v>
      </c>
      <c r="C37" s="2">
        <v>999</v>
      </c>
      <c r="D37" s="3">
        <f>JumiaTable[[#This Row],[old price]]-JumiaTable[[#This Row],[Current price]]</f>
        <v>200</v>
      </c>
      <c r="E37" s="1">
        <v>0.2</v>
      </c>
      <c r="F37" s="1" t="str" cm="1">
        <f t="array" ref="F37">_xlfn.IFS(JumiaTable[[#This Row],[Discount %]]&lt;20%, "Low Discount", JumiaTable[[#This Row],[Discount %]]&lt;40%, "Medium", JumiaTable[[#This Row],[Discount %]]&gt;=40%, "High Discount")</f>
        <v>Medium</v>
      </c>
      <c r="G37">
        <v>12</v>
      </c>
      <c r="H37" s="4">
        <v>4.0999999999999996</v>
      </c>
      <c r="I37" t="str" cm="1">
        <f t="array" ref="I37">_xlfn.IFS(JumiaTable[[#This Row],[Rating]]&lt;3, "Poor", JumiaTable[[#This Row],[Rating]]&lt;4.5, "Average", JumiaTable[[#This Row],[Rating]]&gt; 4.4,"Excellent",JumiaTable[[#This Row],[Rating]]=" ", "No Rating")</f>
        <v>Average</v>
      </c>
    </row>
    <row r="38" spans="1:9" x14ac:dyDescent="0.35">
      <c r="A38" t="s">
        <v>46</v>
      </c>
      <c r="B38" s="2">
        <v>552</v>
      </c>
      <c r="C38" s="3">
        <v>1035</v>
      </c>
      <c r="D38" s="3">
        <f>JumiaTable[[#This Row],[old price]]-JumiaTable[[#This Row],[Current price]]</f>
        <v>483</v>
      </c>
      <c r="E38" s="1">
        <v>0.47</v>
      </c>
      <c r="F38" s="1" t="str" cm="1">
        <f t="array" ref="F38">_xlfn.IFS(JumiaTable[[#This Row],[Discount %]]&lt;20%, "Low Discount", JumiaTable[[#This Row],[Discount %]]&lt;40%, "Medium", JumiaTable[[#This Row],[Discount %]]&gt;=40%, "High Discount")</f>
        <v>High Discount</v>
      </c>
      <c r="G38">
        <v>12</v>
      </c>
      <c r="H38" s="4">
        <v>4.8</v>
      </c>
      <c r="I38" t="str" cm="1">
        <f t="array" ref="I38">_xlfn.IFS(JumiaTable[[#This Row],[Rating]]&lt;3, "Poor", JumiaTable[[#This Row],[Rating]]&lt;4.5, "Average", JumiaTable[[#This Row],[Rating]]&gt; 4.4,"Excellent",JumiaTable[[#This Row],[Rating]]=" ", "No Rating")</f>
        <v>Excellent</v>
      </c>
    </row>
    <row r="39" spans="1:9" x14ac:dyDescent="0.35">
      <c r="A39" t="s">
        <v>91</v>
      </c>
      <c r="B39" s="3">
        <v>2880</v>
      </c>
      <c r="C39" s="3">
        <v>3520</v>
      </c>
      <c r="D39" s="3">
        <f>JumiaTable[[#This Row],[old price]]-JumiaTable[[#This Row],[Current price]]</f>
        <v>640</v>
      </c>
      <c r="E39" s="1">
        <v>0.18</v>
      </c>
      <c r="F39" s="1" t="str" cm="1">
        <f t="array" ref="F39">_xlfn.IFS(JumiaTable[[#This Row],[Discount %]]&lt;20%, "Low Discount", JumiaTable[[#This Row],[Discount %]]&lt;40%, "Medium", JumiaTable[[#This Row],[Discount %]]&gt;=40%, "High Discount")</f>
        <v>Low Discount</v>
      </c>
      <c r="G39">
        <v>12</v>
      </c>
      <c r="H39" s="4">
        <v>3.8</v>
      </c>
      <c r="I39" t="str" cm="1">
        <f t="array" ref="I39">_xlfn.IFS(JumiaTable[[#This Row],[Rating]]&lt;3, "Poor", JumiaTable[[#This Row],[Rating]]&lt;4.5, "Average", JumiaTable[[#This Row],[Rating]]&gt; 4.4,"Excellent",JumiaTable[[#This Row],[Rating]]=" ", "No Rating")</f>
        <v>Average</v>
      </c>
    </row>
    <row r="40" spans="1:9" x14ac:dyDescent="0.35">
      <c r="A40" t="s">
        <v>104</v>
      </c>
      <c r="B40" s="2">
        <v>980</v>
      </c>
      <c r="C40" s="3">
        <v>1490</v>
      </c>
      <c r="D40" s="3">
        <f>JumiaTable[[#This Row],[old price]]-JumiaTable[[#This Row],[Current price]]</f>
        <v>510</v>
      </c>
      <c r="E40" s="1">
        <v>0.34</v>
      </c>
      <c r="F40" s="1" t="str" cm="1">
        <f t="array" ref="F40">_xlfn.IFS(JumiaTable[[#This Row],[Discount %]]&lt;20%, "Low Discount", JumiaTable[[#This Row],[Discount %]]&lt;40%, "Medium", JumiaTable[[#This Row],[Discount %]]&gt;=40%, "High Discount")</f>
        <v>Medium</v>
      </c>
      <c r="G40">
        <v>12</v>
      </c>
      <c r="H40" s="4">
        <v>4.7</v>
      </c>
      <c r="I40" t="str" cm="1">
        <f t="array" ref="I40">_xlfn.IFS(JumiaTable[[#This Row],[Rating]]&lt;3, "Poor", JumiaTable[[#This Row],[Rating]]&lt;4.5, "Average", JumiaTable[[#This Row],[Rating]]&gt; 4.4,"Excellent",JumiaTable[[#This Row],[Rating]]=" ", "No Rating")</f>
        <v>Excellent</v>
      </c>
    </row>
    <row r="41" spans="1:9" x14ac:dyDescent="0.35">
      <c r="A41" t="s">
        <v>70</v>
      </c>
      <c r="B41" s="2">
        <v>38</v>
      </c>
      <c r="C41" s="2">
        <v>80</v>
      </c>
      <c r="D41" s="3">
        <f>JumiaTable[[#This Row],[old price]]-JumiaTable[[#This Row],[Current price]]</f>
        <v>42</v>
      </c>
      <c r="E41" s="1">
        <v>0.53</v>
      </c>
      <c r="F41" s="1" t="str" cm="1">
        <f t="array" ref="F41">_xlfn.IFS(JumiaTable[[#This Row],[Discount %]]&lt;20%, "Low Discount", JumiaTable[[#This Row],[Discount %]]&lt;40%, "Medium", JumiaTable[[#This Row],[Discount %]]&gt;=40%, "High Discount")</f>
        <v>High Discount</v>
      </c>
      <c r="G41">
        <v>13</v>
      </c>
      <c r="H41" s="4">
        <v>3.3</v>
      </c>
      <c r="I41" t="str" cm="1">
        <f t="array" ref="I41">_xlfn.IFS(JumiaTable[[#This Row],[Rating]]&lt;3, "Poor", JumiaTable[[#This Row],[Rating]]&lt;4.5, "Average", JumiaTable[[#This Row],[Rating]]&gt; 4.4,"Excellent",JumiaTable[[#This Row],[Rating]]=" ", "No Rating")</f>
        <v>Average</v>
      </c>
    </row>
    <row r="42" spans="1:9" x14ac:dyDescent="0.35">
      <c r="A42" t="s">
        <v>94</v>
      </c>
      <c r="B42" s="3">
        <v>1350</v>
      </c>
      <c r="C42" s="3">
        <v>1990</v>
      </c>
      <c r="D42" s="3">
        <f>JumiaTable[[#This Row],[old price]]-JumiaTable[[#This Row],[Current price]]</f>
        <v>640</v>
      </c>
      <c r="E42" s="1">
        <v>0.32</v>
      </c>
      <c r="F42" s="1" t="str" cm="1">
        <f t="array" ref="F42">_xlfn.IFS(JumiaTable[[#This Row],[Discount %]]&lt;20%, "Low Discount", JumiaTable[[#This Row],[Discount %]]&lt;40%, "Medium", JumiaTable[[#This Row],[Discount %]]&gt;=40%, "High Discount")</f>
        <v>Medium</v>
      </c>
      <c r="G42">
        <v>13</v>
      </c>
      <c r="H42" s="4">
        <v>3.8</v>
      </c>
      <c r="I42" t="str" cm="1">
        <f t="array" ref="I42">_xlfn.IFS(JumiaTable[[#This Row],[Rating]]&lt;3, "Poor", JumiaTable[[#This Row],[Rating]]&lt;4.5, "Average", JumiaTable[[#This Row],[Rating]]&gt; 4.4,"Excellent",JumiaTable[[#This Row],[Rating]]=" ", "No Rating")</f>
        <v>Average</v>
      </c>
    </row>
    <row r="43" spans="1:9" x14ac:dyDescent="0.35">
      <c r="A43" t="s">
        <v>189</v>
      </c>
      <c r="B43" s="3">
        <v>2115</v>
      </c>
      <c r="C43" s="3">
        <v>4700</v>
      </c>
      <c r="D43" s="3">
        <f>JumiaTable[[#This Row],[old price]]-JumiaTable[[#This Row],[Current price]]</f>
        <v>2585</v>
      </c>
      <c r="E43" s="1">
        <v>0.55000000000000004</v>
      </c>
      <c r="F43" s="1" t="str" cm="1">
        <f t="array" ref="F43">_xlfn.IFS(JumiaTable[[#This Row],[Discount %]]&lt;20%, "Low Discount", JumiaTable[[#This Row],[Discount %]]&lt;40%, "Medium", JumiaTable[[#This Row],[Discount %]]&gt;=40%, "High Discount")</f>
        <v>High Discount</v>
      </c>
      <c r="G43">
        <v>13</v>
      </c>
      <c r="H43" s="4">
        <v>2.1</v>
      </c>
      <c r="I43" t="str" cm="1">
        <f t="array" ref="I43">_xlfn.IFS(JumiaTable[[#This Row],[Rating]]&lt;3, "Poor", JumiaTable[[#This Row],[Rating]]&lt;4.5, "Average", JumiaTable[[#This Row],[Rating]]&gt; 4.4,"Excellent",JumiaTable[[#This Row],[Rating]]=" ", "No Rating")</f>
        <v>Poor</v>
      </c>
    </row>
    <row r="44" spans="1:9" x14ac:dyDescent="0.35">
      <c r="A44" t="s">
        <v>9</v>
      </c>
      <c r="B44" s="2">
        <v>527</v>
      </c>
      <c r="C44" s="2">
        <v>999</v>
      </c>
      <c r="D44" s="3">
        <f>JumiaTable[[#This Row],[old price]]-JumiaTable[[#This Row],[Current price]]</f>
        <v>472</v>
      </c>
      <c r="E44" s="1">
        <v>0.47</v>
      </c>
      <c r="F44" s="1" t="str" cm="1">
        <f t="array" ref="F44">_xlfn.IFS(JumiaTable[[#This Row],[Discount %]]&lt;20%, "Low Discount", JumiaTable[[#This Row],[Discount %]]&lt;40%, "Medium", JumiaTable[[#This Row],[Discount %]]&gt;=40%, "High Discount")</f>
        <v>High Discount</v>
      </c>
      <c r="G44">
        <v>14</v>
      </c>
      <c r="H44" s="4">
        <v>4.0999999999999996</v>
      </c>
      <c r="I44" t="str" cm="1">
        <f t="array" ref="I44">_xlfn.IFS(JumiaTable[[#This Row],[Rating]]&lt;3, "Poor", JumiaTable[[#This Row],[Rating]]&lt;4.5, "Average", JumiaTable[[#This Row],[Rating]]&gt; 4.4,"Excellent",JumiaTable[[#This Row],[Rating]]=" ", "No Rating")</f>
        <v>Average</v>
      </c>
    </row>
    <row r="45" spans="1:9" x14ac:dyDescent="0.35">
      <c r="A45" t="s">
        <v>80</v>
      </c>
      <c r="B45" s="3">
        <v>1650</v>
      </c>
      <c r="C45" s="3">
        <v>2150</v>
      </c>
      <c r="D45" s="3">
        <f>JumiaTable[[#This Row],[old price]]-JumiaTable[[#This Row],[Current price]]</f>
        <v>500</v>
      </c>
      <c r="E45" s="1">
        <v>0.23</v>
      </c>
      <c r="F45" s="1" t="str" cm="1">
        <f t="array" ref="F45">_xlfn.IFS(JumiaTable[[#This Row],[Discount %]]&lt;20%, "Low Discount", JumiaTable[[#This Row],[Discount %]]&lt;40%, "Medium", JumiaTable[[#This Row],[Discount %]]&gt;=40%, "High Discount")</f>
        <v>Medium</v>
      </c>
      <c r="G45">
        <v>14</v>
      </c>
      <c r="H45" s="4">
        <v>4.4000000000000004</v>
      </c>
      <c r="I45" t="str" cm="1">
        <f t="array" ref="I45">_xlfn.IFS(JumiaTable[[#This Row],[Rating]]&lt;3, "Poor", JumiaTable[[#This Row],[Rating]]&lt;4.5, "Average", JumiaTable[[#This Row],[Rating]]&gt; 4.4,"Excellent",JumiaTable[[#This Row],[Rating]]=" ", "No Rating")</f>
        <v>Average</v>
      </c>
    </row>
    <row r="46" spans="1:9" x14ac:dyDescent="0.35">
      <c r="A46" t="s">
        <v>25</v>
      </c>
      <c r="B46" s="3">
        <v>2999</v>
      </c>
      <c r="C46" s="3">
        <v>3290</v>
      </c>
      <c r="D46" s="3">
        <f>JumiaTable[[#This Row],[old price]]-JumiaTable[[#This Row],[Current price]]</f>
        <v>291</v>
      </c>
      <c r="E46" s="1">
        <v>0.09</v>
      </c>
      <c r="F46" s="1" t="str" cm="1">
        <f t="array" ref="F46">_xlfn.IFS(JumiaTable[[#This Row],[Discount %]]&lt;20%, "Low Discount", JumiaTable[[#This Row],[Discount %]]&lt;40%, "Medium", JumiaTable[[#This Row],[Discount %]]&gt;=40%, "High Discount")</f>
        <v>Low Discount</v>
      </c>
      <c r="G46">
        <v>15</v>
      </c>
      <c r="H46" s="4">
        <v>4</v>
      </c>
      <c r="I46" t="str" cm="1">
        <f t="array" ref="I46">_xlfn.IFS(JumiaTable[[#This Row],[Rating]]&lt;3, "Poor", JumiaTable[[#This Row],[Rating]]&lt;4.5, "Average", JumiaTable[[#This Row],[Rating]]&gt; 4.4,"Excellent",JumiaTable[[#This Row],[Rating]]=" ", "No Rating")</f>
        <v>Average</v>
      </c>
    </row>
    <row r="47" spans="1:9" x14ac:dyDescent="0.35">
      <c r="A47" t="s">
        <v>197</v>
      </c>
      <c r="B47" s="2">
        <v>325</v>
      </c>
      <c r="C47" s="2">
        <v>680</v>
      </c>
      <c r="D47" s="3">
        <f>JumiaTable[[#This Row],[old price]]-JumiaTable[[#This Row],[Current price]]</f>
        <v>355</v>
      </c>
      <c r="E47" s="1">
        <v>0.52</v>
      </c>
      <c r="F47" s="1" t="str" cm="1">
        <f t="array" ref="F47">_xlfn.IFS(JumiaTable[[#This Row],[Discount %]]&lt;20%, "Low Discount", JumiaTable[[#This Row],[Discount %]]&lt;40%, "Medium", JumiaTable[[#This Row],[Discount %]]&gt;=40%, "High Discount")</f>
        <v>High Discount</v>
      </c>
      <c r="G47">
        <v>15</v>
      </c>
      <c r="H47" s="4">
        <v>2.7</v>
      </c>
      <c r="I47" t="str" cm="1">
        <f t="array" ref="I47">_xlfn.IFS(JumiaTable[[#This Row],[Rating]]&lt;3, "Poor", JumiaTable[[#This Row],[Rating]]&lt;4.5, "Average", JumiaTable[[#This Row],[Rating]]&gt; 4.4,"Excellent",JumiaTable[[#This Row],[Rating]]=" ", "No Rating")</f>
        <v>Poor</v>
      </c>
    </row>
    <row r="48" spans="1:9" x14ac:dyDescent="0.35">
      <c r="A48" t="s">
        <v>201</v>
      </c>
      <c r="B48" s="3">
        <v>1220</v>
      </c>
      <c r="C48" s="3">
        <v>1555</v>
      </c>
      <c r="D48" s="3">
        <f>JumiaTable[[#This Row],[old price]]-JumiaTable[[#This Row],[Current price]]</f>
        <v>335</v>
      </c>
      <c r="E48" s="1">
        <v>0.22</v>
      </c>
      <c r="F48" s="1" t="str" cm="1">
        <f t="array" ref="F48">_xlfn.IFS(JumiaTable[[#This Row],[Discount %]]&lt;20%, "Low Discount", JumiaTable[[#This Row],[Discount %]]&lt;40%, "Medium", JumiaTable[[#This Row],[Discount %]]&gt;=40%, "High Discount")</f>
        <v>Medium</v>
      </c>
      <c r="G48">
        <v>16</v>
      </c>
      <c r="H48" s="4">
        <v>2.9</v>
      </c>
      <c r="I48" t="str" cm="1">
        <f t="array" ref="I48">_xlfn.IFS(JumiaTable[[#This Row],[Rating]]&lt;3, "Poor", JumiaTable[[#This Row],[Rating]]&lt;4.5, "Average", JumiaTable[[#This Row],[Rating]]&gt; 4.4,"Excellent",JumiaTable[[#This Row],[Rating]]=" ", "No Rating")</f>
        <v>Poor</v>
      </c>
    </row>
    <row r="49" spans="1:9" x14ac:dyDescent="0.35">
      <c r="A49" t="s">
        <v>214</v>
      </c>
      <c r="B49" s="2">
        <v>382</v>
      </c>
      <c r="C49" s="2">
        <v>700</v>
      </c>
      <c r="D49" s="3">
        <f>JumiaTable[[#This Row],[old price]]-JumiaTable[[#This Row],[Current price]]</f>
        <v>318</v>
      </c>
      <c r="E49" s="1">
        <v>0.45</v>
      </c>
      <c r="F49" s="1" t="str" cm="1">
        <f t="array" ref="F49">_xlfn.IFS(JumiaTable[[#This Row],[Discount %]]&lt;20%, "Low Discount", JumiaTable[[#This Row],[Discount %]]&lt;40%, "Medium", JumiaTable[[#This Row],[Discount %]]&gt;=40%, "High Discount")</f>
        <v>High Discount</v>
      </c>
      <c r="G49">
        <v>17</v>
      </c>
      <c r="H49" s="4">
        <v>2.6</v>
      </c>
      <c r="I49" t="str" cm="1">
        <f t="array" ref="I49">_xlfn.IFS(JumiaTable[[#This Row],[Rating]]&lt;3, "Poor", JumiaTable[[#This Row],[Rating]]&lt;4.5, "Average", JumiaTable[[#This Row],[Rating]]&gt; 4.4,"Excellent",JumiaTable[[#This Row],[Rating]]=" ", "No Rating")</f>
        <v>Poor</v>
      </c>
    </row>
    <row r="50" spans="1:9" x14ac:dyDescent="0.35">
      <c r="A50" t="s">
        <v>96</v>
      </c>
      <c r="B50" s="3">
        <v>1758</v>
      </c>
      <c r="C50" s="3">
        <v>2499</v>
      </c>
      <c r="D50" s="3">
        <f>JumiaTable[[#This Row],[old price]]-JumiaTable[[#This Row],[Current price]]</f>
        <v>741</v>
      </c>
      <c r="E50" s="1">
        <v>0.3</v>
      </c>
      <c r="F50" s="1" t="str" cm="1">
        <f t="array" ref="F50">_xlfn.IFS(JumiaTable[[#This Row],[Discount %]]&lt;20%, "Low Discount", JumiaTable[[#This Row],[Discount %]]&lt;40%, "Medium", JumiaTable[[#This Row],[Discount %]]&gt;=40%, "High Discount")</f>
        <v>Medium</v>
      </c>
      <c r="G50">
        <v>20</v>
      </c>
      <c r="H50" s="4">
        <v>4.0999999999999996</v>
      </c>
      <c r="I50" t="str" cm="1">
        <f t="array" ref="I50">_xlfn.IFS(JumiaTable[[#This Row],[Rating]]&lt;3, "Poor", JumiaTable[[#This Row],[Rating]]&lt;4.5, "Average", JumiaTable[[#This Row],[Rating]]&gt; 4.4,"Excellent",JumiaTable[[#This Row],[Rating]]=" ", "No Rating")</f>
        <v>Average</v>
      </c>
    </row>
    <row r="51" spans="1:9" x14ac:dyDescent="0.35">
      <c r="A51" t="s">
        <v>110</v>
      </c>
      <c r="B51" s="3">
        <v>1940</v>
      </c>
      <c r="C51" s="3">
        <v>2650</v>
      </c>
      <c r="D51" s="3">
        <f>JumiaTable[[#This Row],[old price]]-JumiaTable[[#This Row],[Current price]]</f>
        <v>710</v>
      </c>
      <c r="E51" s="1">
        <v>0.27</v>
      </c>
      <c r="F51" s="1" t="str" cm="1">
        <f t="array" ref="F51">_xlfn.IFS(JumiaTable[[#This Row],[Discount %]]&lt;20%, "Low Discount", JumiaTable[[#This Row],[Discount %]]&lt;40%, "Medium", JumiaTable[[#This Row],[Discount %]]&gt;=40%, "High Discount")</f>
        <v>Medium</v>
      </c>
      <c r="G51">
        <v>20</v>
      </c>
      <c r="H51" s="4">
        <v>4.7</v>
      </c>
      <c r="I51" t="str" cm="1">
        <f t="array" ref="I51">_xlfn.IFS(JumiaTable[[#This Row],[Rating]]&lt;3, "Poor", JumiaTable[[#This Row],[Rating]]&lt;4.5, "Average", JumiaTable[[#This Row],[Rating]]&gt; 4.4,"Excellent",JumiaTable[[#This Row],[Rating]]=" ", "No Rating")</f>
        <v>Excellent</v>
      </c>
    </row>
    <row r="52" spans="1:9" x14ac:dyDescent="0.35">
      <c r="A52" t="s">
        <v>13</v>
      </c>
      <c r="B52" s="3">
        <v>2199</v>
      </c>
      <c r="C52" s="3">
        <v>2923</v>
      </c>
      <c r="D52" s="3">
        <f>JumiaTable[[#This Row],[old price]]-JumiaTable[[#This Row],[Current price]]</f>
        <v>724</v>
      </c>
      <c r="E52" s="1">
        <v>0.25</v>
      </c>
      <c r="F52" s="1" t="str" cm="1">
        <f t="array" ref="F52">_xlfn.IFS(JumiaTable[[#This Row],[Discount %]]&lt;20%, "Low Discount", JumiaTable[[#This Row],[Discount %]]&lt;40%, "Medium", JumiaTable[[#This Row],[Discount %]]&gt;=40%, "High Discount")</f>
        <v>Medium</v>
      </c>
      <c r="G52">
        <v>24</v>
      </c>
      <c r="H52" s="4">
        <v>4.5999999999999996</v>
      </c>
      <c r="I52" t="str" cm="1">
        <f t="array" ref="I52">_xlfn.IFS(JumiaTable[[#This Row],[Rating]]&lt;3, "Poor", JumiaTable[[#This Row],[Rating]]&lt;4.5, "Average", JumiaTable[[#This Row],[Rating]]&gt; 4.4,"Excellent",JumiaTable[[#This Row],[Rating]]=" ", "No Rating")</f>
        <v>Excellent</v>
      </c>
    </row>
    <row r="53" spans="1:9" x14ac:dyDescent="0.35">
      <c r="A53" t="s">
        <v>113</v>
      </c>
      <c r="B53" s="3">
        <v>1980</v>
      </c>
      <c r="C53" s="3">
        <v>2699</v>
      </c>
      <c r="D53" s="3">
        <f>JumiaTable[[#This Row],[old price]]-JumiaTable[[#This Row],[Current price]]</f>
        <v>719</v>
      </c>
      <c r="E53" s="1">
        <v>0.27</v>
      </c>
      <c r="F53" s="1" t="str" cm="1">
        <f t="array" ref="F53">_xlfn.IFS(JumiaTable[[#This Row],[Discount %]]&lt;20%, "Low Discount", JumiaTable[[#This Row],[Discount %]]&lt;40%, "Medium", JumiaTable[[#This Row],[Discount %]]&gt;=40%, "High Discount")</f>
        <v>Medium</v>
      </c>
      <c r="G53">
        <v>32</v>
      </c>
      <c r="H53" s="4">
        <v>4.5</v>
      </c>
      <c r="I53" t="str" cm="1">
        <f t="array" ref="I53">_xlfn.IFS(JumiaTable[[#This Row],[Rating]]&lt;3, "Poor", JumiaTable[[#This Row],[Rating]]&lt;4.5, "Average", JumiaTable[[#This Row],[Rating]]&gt; 4.4,"Excellent",JumiaTable[[#This Row],[Rating]]=" ", "No Rating")</f>
        <v>Excellent</v>
      </c>
    </row>
    <row r="54" spans="1:9" x14ac:dyDescent="0.35">
      <c r="A54" t="s">
        <v>121</v>
      </c>
      <c r="B54" s="2">
        <v>389</v>
      </c>
      <c r="C54" s="2">
        <v>656</v>
      </c>
      <c r="D54" s="3">
        <f>JumiaTable[[#This Row],[old price]]-JumiaTable[[#This Row],[Current price]]</f>
        <v>267</v>
      </c>
      <c r="E54" s="1">
        <v>0.41</v>
      </c>
      <c r="F54" s="1" t="str" cm="1">
        <f t="array" ref="F54">_xlfn.IFS(JumiaTable[[#This Row],[Discount %]]&lt;20%, "Low Discount", JumiaTable[[#This Row],[Discount %]]&lt;40%, "Medium", JumiaTable[[#This Row],[Discount %]]&gt;=40%, "High Discount")</f>
        <v>High Discount</v>
      </c>
      <c r="G54">
        <v>36</v>
      </c>
      <c r="H54" s="4">
        <v>4.3</v>
      </c>
      <c r="I54" t="str" cm="1">
        <f t="array" ref="I54">_xlfn.IFS(JumiaTable[[#This Row],[Rating]]&lt;3, "Poor", JumiaTable[[#This Row],[Rating]]&lt;4.5, "Average", JumiaTable[[#This Row],[Rating]]&gt; 4.4,"Excellent",JumiaTable[[#This Row],[Rating]]=" ", "No Rating")</f>
        <v>Average</v>
      </c>
    </row>
    <row r="55" spans="1:9" x14ac:dyDescent="0.35">
      <c r="A55" t="s">
        <v>43</v>
      </c>
      <c r="B55" s="2">
        <v>990</v>
      </c>
      <c r="C55" s="3">
        <v>1500</v>
      </c>
      <c r="D55" s="3">
        <f>JumiaTable[[#This Row],[old price]]-JumiaTable[[#This Row],[Current price]]</f>
        <v>510</v>
      </c>
      <c r="E55" s="1">
        <v>0.34</v>
      </c>
      <c r="F55" s="1" t="str" cm="1">
        <f t="array" ref="F55">_xlfn.IFS(JumiaTable[[#This Row],[Discount %]]&lt;20%, "Low Discount", JumiaTable[[#This Row],[Discount %]]&lt;40%, "Medium", JumiaTable[[#This Row],[Discount %]]&gt;=40%, "High Discount")</f>
        <v>Medium</v>
      </c>
      <c r="G55">
        <v>39</v>
      </c>
      <c r="H55" s="4">
        <v>4.7</v>
      </c>
      <c r="I55" t="str" cm="1">
        <f t="array" ref="I55">_xlfn.IFS(JumiaTable[[#This Row],[Rating]]&lt;3, "Poor", JumiaTable[[#This Row],[Rating]]&lt;4.5, "Average", JumiaTable[[#This Row],[Rating]]&gt; 4.4,"Excellent",JumiaTable[[#This Row],[Rating]]=" ", "No Rating")</f>
        <v>Excellent</v>
      </c>
    </row>
    <row r="56" spans="1:9" x14ac:dyDescent="0.35">
      <c r="A56" t="s">
        <v>67</v>
      </c>
      <c r="B56" s="2">
        <v>998</v>
      </c>
      <c r="C56" s="3">
        <v>1966</v>
      </c>
      <c r="D56" s="3">
        <f>JumiaTable[[#This Row],[old price]]-JumiaTable[[#This Row],[Current price]]</f>
        <v>968</v>
      </c>
      <c r="E56" s="1">
        <v>0.49</v>
      </c>
      <c r="F56" s="1" t="str" cm="1">
        <f t="array" ref="F56">_xlfn.IFS(JumiaTable[[#This Row],[Discount %]]&lt;20%, "Low Discount", JumiaTable[[#This Row],[Discount %]]&lt;40%, "Medium", JumiaTable[[#This Row],[Discount %]]&gt;=40%, "High Discount")</f>
        <v>High Discount</v>
      </c>
      <c r="G56">
        <v>44</v>
      </c>
      <c r="H56" s="4">
        <v>4.5999999999999996</v>
      </c>
      <c r="I56" t="str" cm="1">
        <f t="array" ref="I56">_xlfn.IFS(JumiaTable[[#This Row],[Rating]]&lt;3, "Poor", JumiaTable[[#This Row],[Rating]]&lt;4.5, "Average", JumiaTable[[#This Row],[Rating]]&gt; 4.4,"Excellent",JumiaTable[[#This Row],[Rating]]=" ", "No Rating")</f>
        <v>Excellent</v>
      </c>
    </row>
    <row r="57" spans="1:9" x14ac:dyDescent="0.35">
      <c r="A57" t="s">
        <v>88</v>
      </c>
      <c r="B57" s="2">
        <v>420</v>
      </c>
      <c r="C57" s="2">
        <v>647</v>
      </c>
      <c r="D57" s="3">
        <f>JumiaTable[[#This Row],[old price]]-JumiaTable[[#This Row],[Current price]]</f>
        <v>227</v>
      </c>
      <c r="E57" s="1">
        <v>0.35</v>
      </c>
      <c r="F57" s="1" t="str" cm="1">
        <f t="array" ref="F57">_xlfn.IFS(JumiaTable[[#This Row],[Discount %]]&lt;20%, "Low Discount", JumiaTable[[#This Row],[Discount %]]&lt;40%, "Medium", JumiaTable[[#This Row],[Discount %]]&gt;=40%, "High Discount")</f>
        <v>Medium</v>
      </c>
      <c r="G57">
        <v>49</v>
      </c>
      <c r="H57" s="4">
        <v>4.5999999999999996</v>
      </c>
      <c r="I57" t="str" cm="1">
        <f t="array" ref="I57">_xlfn.IFS(JumiaTable[[#This Row],[Rating]]&lt;3, "Poor", JumiaTable[[#This Row],[Rating]]&lt;4.5, "Average", JumiaTable[[#This Row],[Rating]]&gt; 4.4,"Excellent",JumiaTable[[#This Row],[Rating]]=" ", "No Rating")</f>
        <v>Excellent</v>
      </c>
    </row>
    <row r="58" spans="1:9" x14ac:dyDescent="0.35">
      <c r="A58" t="s">
        <v>29</v>
      </c>
      <c r="B58" s="3">
        <v>2319</v>
      </c>
      <c r="C58" s="3">
        <v>3032</v>
      </c>
      <c r="D58" s="3">
        <f>JumiaTable[[#This Row],[old price]]-JumiaTable[[#This Row],[Current price]]</f>
        <v>713</v>
      </c>
      <c r="E58" s="1">
        <v>0.24</v>
      </c>
      <c r="F58" s="1" t="str" cm="1">
        <f t="array" ref="F58">_xlfn.IFS(JumiaTable[[#This Row],[Discount %]]&lt;20%, "Low Discount", JumiaTable[[#This Row],[Discount %]]&lt;40%, "Medium", JumiaTable[[#This Row],[Discount %]]&gt;=40%, "High Discount")</f>
        <v>Medium</v>
      </c>
      <c r="G58">
        <v>55</v>
      </c>
      <c r="H58" s="4">
        <v>4.5999999999999996</v>
      </c>
      <c r="I58" t="str" cm="1">
        <f t="array" ref="I58">_xlfn.IFS(JumiaTable[[#This Row],[Rating]]&lt;3, "Poor", JumiaTable[[#This Row],[Rating]]&lt;4.5, "Average", JumiaTable[[#This Row],[Rating]]&gt; 4.4,"Excellent",JumiaTable[[#This Row],[Rating]]=" ", "No Rating")</f>
        <v>Excellent</v>
      </c>
    </row>
    <row r="59" spans="1:9" x14ac:dyDescent="0.35">
      <c r="A59" t="s">
        <v>193</v>
      </c>
      <c r="B59" s="2">
        <v>445</v>
      </c>
      <c r="C59" s="2">
        <v>873</v>
      </c>
      <c r="D59" s="3">
        <f>JumiaTable[[#This Row],[old price]]-JumiaTable[[#This Row],[Current price]]</f>
        <v>428</v>
      </c>
      <c r="E59" s="1">
        <v>0.49</v>
      </c>
      <c r="F59" s="1" t="str" cm="1">
        <f t="array" ref="F59">_xlfn.IFS(JumiaTable[[#This Row],[Discount %]]&lt;20%, "Low Discount", JumiaTable[[#This Row],[Discount %]]&lt;40%, "Medium", JumiaTable[[#This Row],[Discount %]]&gt;=40%, "High Discount")</f>
        <v>High Discount</v>
      </c>
      <c r="G59">
        <v>69</v>
      </c>
      <c r="H59" s="4">
        <v>2.8</v>
      </c>
      <c r="I59" t="str" cm="1">
        <f t="array" ref="I59">_xlfn.IFS(JumiaTable[[#This Row],[Rating]]&lt;3, "Poor", JumiaTable[[#This Row],[Rating]]&lt;4.5, "Average", JumiaTable[[#This Row],[Rating]]&gt; 4.4,"Excellent",JumiaTable[[#This Row],[Rating]]=" ", "No Rating")</f>
        <v>Poor</v>
      </c>
    </row>
  </sheetData>
  <phoneticPr fontId="18" type="noConversion"/>
  <conditionalFormatting sqref="F3:F59">
    <cfRule type="containsText" dxfId="1" priority="2" operator="containsText" text="High Discount">
      <formula>NOT(ISERROR(SEARCH("High Discount",F3)))</formula>
    </cfRule>
  </conditionalFormatting>
  <conditionalFormatting sqref="I3:I59">
    <cfRule type="containsText" dxfId="0" priority="1" operator="containsText" text="Poor">
      <formula>NOT(ISERROR(SEARCH("Poor",I3)))</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6A8B-E143-4DFC-B45C-FD9866325A02}">
  <sheetPr>
    <tabColor theme="0"/>
  </sheetPr>
  <dimension ref="B2:M190"/>
  <sheetViews>
    <sheetView workbookViewId="0">
      <selection activeCell="L18" sqref="L18"/>
    </sheetView>
  </sheetViews>
  <sheetFormatPr defaultRowHeight="14.5" x14ac:dyDescent="0.35"/>
  <cols>
    <col min="2" max="2" width="73.08984375" bestFit="1" customWidth="1"/>
    <col min="3" max="3" width="12.36328125" bestFit="1" customWidth="1"/>
    <col min="4" max="5" width="14.54296875" bestFit="1" customWidth="1"/>
    <col min="6" max="6" width="13.08984375" bestFit="1" customWidth="1"/>
    <col min="7" max="7" width="18.26953125" bestFit="1" customWidth="1"/>
    <col min="8" max="8" width="14.36328125" bestFit="1" customWidth="1"/>
    <col min="9" max="9" width="64.453125" bestFit="1" customWidth="1"/>
    <col min="10" max="10" width="12.36328125" bestFit="1" customWidth="1"/>
    <col min="11" max="11" width="3.81640625" bestFit="1" customWidth="1"/>
    <col min="12" max="12" width="67.08984375" bestFit="1" customWidth="1"/>
    <col min="13" max="13" width="26.36328125" bestFit="1" customWidth="1"/>
    <col min="14" max="41" width="3.81640625" bestFit="1" customWidth="1"/>
    <col min="42" max="92" width="4.81640625" bestFit="1" customWidth="1"/>
    <col min="93" max="93" width="12.36328125" bestFit="1" customWidth="1"/>
    <col min="94" max="94" width="10.7265625" bestFit="1" customWidth="1"/>
  </cols>
  <sheetData>
    <row r="2" spans="2:13" x14ac:dyDescent="0.35">
      <c r="B2" t="s">
        <v>327</v>
      </c>
      <c r="I2" s="7" t="s">
        <v>332</v>
      </c>
      <c r="J2" t="s">
        <v>335</v>
      </c>
    </row>
    <row r="3" spans="2:13" x14ac:dyDescent="0.35">
      <c r="B3" s="6">
        <v>1303.3508771929824</v>
      </c>
      <c r="C3" s="10">
        <f>GETPIVOTDATA("Current price",$B$2)</f>
        <v>1303.3508771929824</v>
      </c>
      <c r="E3" t="s">
        <v>347</v>
      </c>
      <c r="I3" s="2" t="s">
        <v>46</v>
      </c>
      <c r="J3" s="6">
        <v>4.8</v>
      </c>
      <c r="L3" s="7" t="s">
        <v>332</v>
      </c>
      <c r="M3" t="s">
        <v>344</v>
      </c>
    </row>
    <row r="4" spans="2:13" x14ac:dyDescent="0.35">
      <c r="C4" s="5"/>
      <c r="E4" s="6">
        <v>57</v>
      </c>
      <c r="F4">
        <f>GETPIVOTDATA("Product",$E$3)</f>
        <v>57</v>
      </c>
      <c r="I4" s="2" t="s">
        <v>21</v>
      </c>
      <c r="J4" s="6">
        <v>4.8</v>
      </c>
      <c r="L4" s="2" t="s">
        <v>242</v>
      </c>
      <c r="M4" s="6">
        <v>1010</v>
      </c>
    </row>
    <row r="5" spans="2:13" x14ac:dyDescent="0.35">
      <c r="B5" t="s">
        <v>331</v>
      </c>
      <c r="C5" s="5"/>
      <c r="I5" s="2" t="s">
        <v>34</v>
      </c>
      <c r="J5" s="6">
        <v>4.8</v>
      </c>
      <c r="L5" s="2" t="s">
        <v>116</v>
      </c>
      <c r="M5" s="6">
        <v>1070</v>
      </c>
    </row>
    <row r="6" spans="2:13" x14ac:dyDescent="0.35">
      <c r="B6" s="6">
        <v>2054.5087719298244</v>
      </c>
      <c r="C6" s="9">
        <f>GETPIVOTDATA("old price",$B$5)</f>
        <v>2054.5087719298244</v>
      </c>
      <c r="E6" t="s">
        <v>346</v>
      </c>
      <c r="I6" s="2" t="s">
        <v>116</v>
      </c>
      <c r="J6" s="6">
        <v>5</v>
      </c>
      <c r="L6" s="2" t="s">
        <v>37</v>
      </c>
      <c r="M6" s="6">
        <v>1329</v>
      </c>
    </row>
    <row r="7" spans="2:13" x14ac:dyDescent="0.35">
      <c r="C7" s="5"/>
      <c r="E7" s="6">
        <v>57</v>
      </c>
      <c r="F7">
        <f>GETPIVOTDATA("Review",$E$6)</f>
        <v>57</v>
      </c>
      <c r="I7" s="2" t="s">
        <v>62</v>
      </c>
      <c r="J7" s="6">
        <v>5</v>
      </c>
      <c r="L7" s="2" t="s">
        <v>228</v>
      </c>
      <c r="M7" s="6">
        <v>1418</v>
      </c>
    </row>
    <row r="8" spans="2:13" x14ac:dyDescent="0.35">
      <c r="B8" t="s">
        <v>330</v>
      </c>
      <c r="C8" s="5"/>
      <c r="I8" s="2" t="s">
        <v>244</v>
      </c>
      <c r="J8" s="6">
        <v>5</v>
      </c>
      <c r="L8" s="2" t="s">
        <v>34</v>
      </c>
      <c r="M8" s="6">
        <v>1526</v>
      </c>
    </row>
    <row r="9" spans="2:13" x14ac:dyDescent="0.35">
      <c r="B9" s="1">
        <v>0.38964912280701741</v>
      </c>
      <c r="C9" s="1">
        <f>GETPIVOTDATA("Discount %",$B$8)</f>
        <v>0.38964912280701741</v>
      </c>
      <c r="I9" s="2" t="s">
        <v>294</v>
      </c>
      <c r="J9" s="6">
        <v>5</v>
      </c>
      <c r="L9" s="2" t="s">
        <v>107</v>
      </c>
      <c r="M9" s="6">
        <v>1670</v>
      </c>
    </row>
    <row r="10" spans="2:13" x14ac:dyDescent="0.35">
      <c r="C10" s="5"/>
      <c r="I10" s="2" t="s">
        <v>59</v>
      </c>
      <c r="J10" s="6">
        <v>5</v>
      </c>
      <c r="L10" s="2" t="s">
        <v>62</v>
      </c>
      <c r="M10" s="6">
        <v>1946</v>
      </c>
    </row>
    <row r="11" spans="2:13" x14ac:dyDescent="0.35">
      <c r="B11" t="s">
        <v>336</v>
      </c>
      <c r="C11" s="5"/>
      <c r="I11" s="2" t="s">
        <v>55</v>
      </c>
      <c r="J11" s="6">
        <v>5</v>
      </c>
      <c r="L11" s="2" t="s">
        <v>211</v>
      </c>
      <c r="M11" s="6">
        <v>2393</v>
      </c>
    </row>
    <row r="12" spans="2:13" x14ac:dyDescent="0.35">
      <c r="B12" s="6">
        <v>3.8894736842105258</v>
      </c>
      <c r="C12" s="5">
        <f>GETPIVOTDATA("Rating",$B$11)</f>
        <v>3.8894736842105258</v>
      </c>
      <c r="I12" s="2" t="s">
        <v>119</v>
      </c>
      <c r="J12" s="6">
        <v>5</v>
      </c>
      <c r="L12" s="2" t="s">
        <v>84</v>
      </c>
      <c r="M12" s="6">
        <v>2452</v>
      </c>
    </row>
    <row r="13" spans="2:13" x14ac:dyDescent="0.35">
      <c r="E13" s="7" t="s">
        <v>332</v>
      </c>
      <c r="F13" t="s">
        <v>345</v>
      </c>
      <c r="L13" s="2" t="s">
        <v>189</v>
      </c>
      <c r="M13" s="6">
        <v>2585</v>
      </c>
    </row>
    <row r="14" spans="2:13" x14ac:dyDescent="0.35">
      <c r="B14" s="7" t="s">
        <v>332</v>
      </c>
      <c r="C14" t="s">
        <v>337</v>
      </c>
      <c r="E14" s="2" t="s">
        <v>96</v>
      </c>
      <c r="F14" s="12">
        <v>20</v>
      </c>
    </row>
    <row r="15" spans="2:13" x14ac:dyDescent="0.35">
      <c r="B15" s="2" t="s">
        <v>211</v>
      </c>
      <c r="C15" s="6">
        <v>3750</v>
      </c>
      <c r="E15" s="2" t="s">
        <v>110</v>
      </c>
      <c r="F15" s="12">
        <v>20</v>
      </c>
    </row>
    <row r="16" spans="2:13" x14ac:dyDescent="0.35">
      <c r="B16" s="2" t="s">
        <v>294</v>
      </c>
      <c r="C16" s="6">
        <v>3640</v>
      </c>
      <c r="E16" s="2" t="s">
        <v>13</v>
      </c>
      <c r="F16" s="12">
        <v>24</v>
      </c>
    </row>
    <row r="17" spans="2:6" x14ac:dyDescent="0.35">
      <c r="B17" s="2" t="s">
        <v>25</v>
      </c>
      <c r="C17" s="6">
        <v>2999</v>
      </c>
      <c r="E17" s="2" t="s">
        <v>113</v>
      </c>
      <c r="F17" s="12">
        <v>32</v>
      </c>
    </row>
    <row r="18" spans="2:6" x14ac:dyDescent="0.35">
      <c r="B18" s="2" t="s">
        <v>65</v>
      </c>
      <c r="C18" s="6">
        <v>2999</v>
      </c>
      <c r="E18" s="2" t="s">
        <v>121</v>
      </c>
      <c r="F18" s="12">
        <v>36</v>
      </c>
    </row>
    <row r="19" spans="2:6" x14ac:dyDescent="0.35">
      <c r="B19" s="2" t="s">
        <v>91</v>
      </c>
      <c r="C19" s="6">
        <v>2880</v>
      </c>
      <c r="E19" s="2" t="s">
        <v>43</v>
      </c>
      <c r="F19" s="12">
        <v>39</v>
      </c>
    </row>
    <row r="20" spans="2:6" x14ac:dyDescent="0.35">
      <c r="B20" s="2" t="s">
        <v>29</v>
      </c>
      <c r="C20" s="6">
        <v>2319</v>
      </c>
      <c r="E20" s="2" t="s">
        <v>67</v>
      </c>
      <c r="F20" s="12">
        <v>44</v>
      </c>
    </row>
    <row r="21" spans="2:6" x14ac:dyDescent="0.35">
      <c r="B21" s="2" t="s">
        <v>217</v>
      </c>
      <c r="C21" s="6">
        <v>2300</v>
      </c>
      <c r="E21" s="13" t="s">
        <v>88</v>
      </c>
      <c r="F21" s="12">
        <v>49</v>
      </c>
    </row>
    <row r="22" spans="2:6" x14ac:dyDescent="0.35">
      <c r="B22" s="2" t="s">
        <v>13</v>
      </c>
      <c r="C22" s="6">
        <v>2199</v>
      </c>
      <c r="E22" s="13" t="s">
        <v>29</v>
      </c>
      <c r="F22" s="12">
        <v>55</v>
      </c>
    </row>
    <row r="23" spans="2:6" x14ac:dyDescent="0.35">
      <c r="B23" s="2" t="s">
        <v>181</v>
      </c>
      <c r="C23" s="6">
        <v>2170</v>
      </c>
      <c r="E23" s="13" t="s">
        <v>193</v>
      </c>
      <c r="F23" s="12">
        <v>69</v>
      </c>
    </row>
    <row r="24" spans="2:6" x14ac:dyDescent="0.35">
      <c r="B24" s="2" t="s">
        <v>189</v>
      </c>
      <c r="C24" s="6">
        <v>2115</v>
      </c>
    </row>
    <row r="25" spans="2:6" x14ac:dyDescent="0.35">
      <c r="B25" s="2" t="s">
        <v>84</v>
      </c>
      <c r="C25" s="6">
        <v>2048</v>
      </c>
    </row>
    <row r="26" spans="2:6" x14ac:dyDescent="0.35">
      <c r="B26" s="2" t="s">
        <v>62</v>
      </c>
      <c r="C26" s="6">
        <v>2025</v>
      </c>
    </row>
    <row r="27" spans="2:6" x14ac:dyDescent="0.35">
      <c r="B27" s="2" t="s">
        <v>113</v>
      </c>
      <c r="C27" s="6">
        <v>1980</v>
      </c>
    </row>
    <row r="28" spans="2:6" x14ac:dyDescent="0.35">
      <c r="B28" s="2" t="s">
        <v>110</v>
      </c>
      <c r="C28" s="6">
        <v>1940</v>
      </c>
    </row>
    <row r="29" spans="2:6" x14ac:dyDescent="0.35">
      <c r="B29" s="2" t="s">
        <v>107</v>
      </c>
      <c r="C29" s="6">
        <v>1820</v>
      </c>
    </row>
    <row r="30" spans="2:6" x14ac:dyDescent="0.35">
      <c r="B30" s="2" t="s">
        <v>124</v>
      </c>
      <c r="C30" s="6">
        <v>1800</v>
      </c>
    </row>
    <row r="31" spans="2:6" x14ac:dyDescent="0.35">
      <c r="B31" s="2" t="s">
        <v>96</v>
      </c>
      <c r="C31" s="6">
        <v>1758</v>
      </c>
    </row>
    <row r="32" spans="2:6" x14ac:dyDescent="0.35">
      <c r="B32" s="2" t="s">
        <v>21</v>
      </c>
      <c r="C32" s="6">
        <v>1740</v>
      </c>
    </row>
    <row r="33" spans="2:3" x14ac:dyDescent="0.35">
      <c r="B33" s="2" t="s">
        <v>52</v>
      </c>
      <c r="C33" s="6">
        <v>1680</v>
      </c>
    </row>
    <row r="34" spans="2:3" x14ac:dyDescent="0.35">
      <c r="B34" s="2" t="s">
        <v>80</v>
      </c>
      <c r="C34" s="6">
        <v>1650</v>
      </c>
    </row>
    <row r="35" spans="2:3" x14ac:dyDescent="0.35">
      <c r="B35" s="2" t="s">
        <v>116</v>
      </c>
      <c r="C35" s="6">
        <v>1620</v>
      </c>
    </row>
    <row r="36" spans="2:3" x14ac:dyDescent="0.35">
      <c r="B36" s="2" t="s">
        <v>37</v>
      </c>
      <c r="C36" s="6">
        <v>1600</v>
      </c>
    </row>
    <row r="37" spans="2:3" x14ac:dyDescent="0.35">
      <c r="B37" s="2" t="s">
        <v>17</v>
      </c>
      <c r="C37" s="6">
        <v>1580</v>
      </c>
    </row>
    <row r="38" spans="2:3" x14ac:dyDescent="0.35">
      <c r="B38" s="2" t="s">
        <v>228</v>
      </c>
      <c r="C38" s="6">
        <v>1570</v>
      </c>
    </row>
    <row r="39" spans="2:3" x14ac:dyDescent="0.35">
      <c r="B39" s="2" t="s">
        <v>94</v>
      </c>
      <c r="C39" s="6">
        <v>1350</v>
      </c>
    </row>
    <row r="40" spans="2:3" x14ac:dyDescent="0.35">
      <c r="B40" s="2" t="s">
        <v>34</v>
      </c>
      <c r="C40" s="6">
        <v>1274</v>
      </c>
    </row>
    <row r="41" spans="2:3" x14ac:dyDescent="0.35">
      <c r="B41" s="2" t="s">
        <v>201</v>
      </c>
      <c r="C41" s="6">
        <v>1220</v>
      </c>
    </row>
    <row r="42" spans="2:3" x14ac:dyDescent="0.35">
      <c r="B42" s="2" t="s">
        <v>242</v>
      </c>
      <c r="C42" s="6">
        <v>1189</v>
      </c>
    </row>
    <row r="43" spans="2:3" x14ac:dyDescent="0.35">
      <c r="B43" s="2" t="s">
        <v>208</v>
      </c>
      <c r="C43" s="6">
        <v>1000</v>
      </c>
    </row>
    <row r="44" spans="2:3" x14ac:dyDescent="0.35">
      <c r="B44" s="2" t="s">
        <v>67</v>
      </c>
      <c r="C44" s="6">
        <v>998</v>
      </c>
    </row>
    <row r="45" spans="2:3" x14ac:dyDescent="0.35">
      <c r="B45" s="2" t="s">
        <v>43</v>
      </c>
      <c r="C45" s="6">
        <v>990</v>
      </c>
    </row>
    <row r="46" spans="2:3" x14ac:dyDescent="0.35">
      <c r="B46" s="2" t="s">
        <v>205</v>
      </c>
      <c r="C46" s="6">
        <v>990</v>
      </c>
    </row>
    <row r="47" spans="2:3" x14ac:dyDescent="0.35">
      <c r="B47" s="2" t="s">
        <v>32</v>
      </c>
      <c r="C47" s="6">
        <v>988</v>
      </c>
    </row>
    <row r="48" spans="2:3" x14ac:dyDescent="0.35">
      <c r="B48" s="2" t="s">
        <v>104</v>
      </c>
      <c r="C48" s="6">
        <v>980</v>
      </c>
    </row>
    <row r="49" spans="2:3" x14ac:dyDescent="0.35">
      <c r="B49" s="2" t="s">
        <v>244</v>
      </c>
      <c r="C49" s="6">
        <v>979</v>
      </c>
    </row>
    <row r="50" spans="2:3" x14ac:dyDescent="0.35">
      <c r="B50" s="2" t="s">
        <v>226</v>
      </c>
      <c r="C50" s="6">
        <v>968</v>
      </c>
    </row>
    <row r="51" spans="2:3" x14ac:dyDescent="0.35">
      <c r="B51" s="2" t="s">
        <v>5</v>
      </c>
      <c r="C51" s="6">
        <v>950</v>
      </c>
    </row>
    <row r="52" spans="2:3" x14ac:dyDescent="0.35">
      <c r="B52" s="2" t="s">
        <v>77</v>
      </c>
      <c r="C52" s="6">
        <v>880</v>
      </c>
    </row>
    <row r="53" spans="2:3" x14ac:dyDescent="0.35">
      <c r="B53" s="2" t="s">
        <v>41</v>
      </c>
      <c r="C53" s="6">
        <v>799</v>
      </c>
    </row>
    <row r="54" spans="2:3" x14ac:dyDescent="0.35">
      <c r="B54" s="2" t="s">
        <v>46</v>
      </c>
      <c r="C54" s="6">
        <v>552</v>
      </c>
    </row>
    <row r="55" spans="2:3" x14ac:dyDescent="0.35">
      <c r="B55" s="2" t="s">
        <v>9</v>
      </c>
      <c r="C55" s="6">
        <v>527</v>
      </c>
    </row>
    <row r="56" spans="2:3" x14ac:dyDescent="0.35">
      <c r="B56" s="2" t="s">
        <v>223</v>
      </c>
      <c r="C56" s="6">
        <v>509</v>
      </c>
    </row>
    <row r="57" spans="2:3" x14ac:dyDescent="0.35">
      <c r="B57" s="2" t="s">
        <v>49</v>
      </c>
      <c r="C57" s="6">
        <v>501</v>
      </c>
    </row>
    <row r="58" spans="2:3" x14ac:dyDescent="0.35">
      <c r="B58" s="2" t="s">
        <v>185</v>
      </c>
      <c r="C58" s="6">
        <v>458</v>
      </c>
    </row>
    <row r="59" spans="2:3" x14ac:dyDescent="0.35">
      <c r="B59" s="2" t="s">
        <v>317</v>
      </c>
      <c r="C59" s="6">
        <v>450</v>
      </c>
    </row>
    <row r="60" spans="2:3" x14ac:dyDescent="0.35">
      <c r="B60" s="2" t="s">
        <v>193</v>
      </c>
      <c r="C60" s="6">
        <v>445</v>
      </c>
    </row>
    <row r="61" spans="2:3" x14ac:dyDescent="0.35">
      <c r="B61" s="2" t="s">
        <v>88</v>
      </c>
      <c r="C61" s="6">
        <v>420</v>
      </c>
    </row>
    <row r="62" spans="2:3" x14ac:dyDescent="0.35">
      <c r="B62" s="2" t="s">
        <v>121</v>
      </c>
      <c r="C62" s="6">
        <v>389</v>
      </c>
    </row>
    <row r="63" spans="2:3" x14ac:dyDescent="0.35">
      <c r="B63" s="2" t="s">
        <v>214</v>
      </c>
      <c r="C63" s="6">
        <v>382</v>
      </c>
    </row>
    <row r="64" spans="2:3" x14ac:dyDescent="0.35">
      <c r="B64" s="2" t="s">
        <v>220</v>
      </c>
      <c r="C64" s="6">
        <v>345</v>
      </c>
    </row>
    <row r="65" spans="2:3" x14ac:dyDescent="0.35">
      <c r="B65" s="2" t="s">
        <v>55</v>
      </c>
      <c r="C65" s="6">
        <v>332</v>
      </c>
    </row>
    <row r="66" spans="2:3" x14ac:dyDescent="0.35">
      <c r="B66" s="2" t="s">
        <v>252</v>
      </c>
      <c r="C66" s="6">
        <v>330</v>
      </c>
    </row>
    <row r="67" spans="2:3" x14ac:dyDescent="0.35">
      <c r="B67" s="2" t="s">
        <v>197</v>
      </c>
      <c r="C67" s="6">
        <v>325</v>
      </c>
    </row>
    <row r="68" spans="2:3" x14ac:dyDescent="0.35">
      <c r="B68" s="2" t="s">
        <v>59</v>
      </c>
      <c r="C68" s="6">
        <v>195</v>
      </c>
    </row>
    <row r="69" spans="2:3" x14ac:dyDescent="0.35">
      <c r="B69" s="2" t="s">
        <v>101</v>
      </c>
      <c r="C69" s="6">
        <v>185</v>
      </c>
    </row>
    <row r="70" spans="2:3" x14ac:dyDescent="0.35">
      <c r="B70" s="2" t="s">
        <v>119</v>
      </c>
      <c r="C70" s="6">
        <v>171</v>
      </c>
    </row>
    <row r="71" spans="2:3" x14ac:dyDescent="0.35">
      <c r="B71" s="2" t="s">
        <v>70</v>
      </c>
      <c r="C71" s="6">
        <v>38</v>
      </c>
    </row>
    <row r="72" spans="2:3" x14ac:dyDescent="0.35">
      <c r="B72" s="2" t="s">
        <v>333</v>
      </c>
      <c r="C72" s="6">
        <v>74291</v>
      </c>
    </row>
    <row r="127" spans="2:4" x14ac:dyDescent="0.35">
      <c r="B127" s="7" t="s">
        <v>332</v>
      </c>
      <c r="C127" t="s">
        <v>336</v>
      </c>
      <c r="D127" t="s">
        <v>334</v>
      </c>
    </row>
    <row r="128" spans="2:4" x14ac:dyDescent="0.35">
      <c r="B128" s="2" t="s">
        <v>341</v>
      </c>
      <c r="C128" s="6">
        <v>3.6580645161290306</v>
      </c>
      <c r="D128" s="6">
        <v>811.41935483870964</v>
      </c>
    </row>
    <row r="129" spans="2:4" x14ac:dyDescent="0.35">
      <c r="B129" s="2" t="s">
        <v>342</v>
      </c>
      <c r="C129" s="6">
        <v>3.7249999999999996</v>
      </c>
      <c r="D129" s="6">
        <v>490.25</v>
      </c>
    </row>
    <row r="130" spans="2:4" x14ac:dyDescent="0.35">
      <c r="B130" s="2" t="s">
        <v>343</v>
      </c>
      <c r="C130" s="6">
        <v>4.2454545454545451</v>
      </c>
      <c r="D130" s="6">
        <v>713.68181818181813</v>
      </c>
    </row>
    <row r="131" spans="2:4" x14ac:dyDescent="0.35">
      <c r="B131" s="2" t="s">
        <v>333</v>
      </c>
      <c r="C131" s="6">
        <v>3.8894736842105244</v>
      </c>
      <c r="D131" s="6">
        <v>751.15789473684208</v>
      </c>
    </row>
    <row r="134" spans="2:4" x14ac:dyDescent="0.35">
      <c r="B134" s="7" t="s">
        <v>332</v>
      </c>
      <c r="C134" t="s">
        <v>335</v>
      </c>
    </row>
    <row r="135" spans="2:4" x14ac:dyDescent="0.35">
      <c r="B135" s="2" t="s">
        <v>338</v>
      </c>
      <c r="C135" s="6">
        <v>83.799999999999983</v>
      </c>
    </row>
    <row r="136" spans="2:4" x14ac:dyDescent="0.35">
      <c r="B136" s="2" t="s">
        <v>339</v>
      </c>
      <c r="C136" s="6">
        <v>109.19999999999997</v>
      </c>
    </row>
    <row r="137" spans="2:4" x14ac:dyDescent="0.35">
      <c r="B137" s="2" t="s">
        <v>340</v>
      </c>
      <c r="C137" s="6">
        <v>28.7</v>
      </c>
    </row>
    <row r="138" spans="2:4" x14ac:dyDescent="0.35">
      <c r="B138" s="2" t="s">
        <v>333</v>
      </c>
      <c r="C138" s="6">
        <v>221.69999999999993</v>
      </c>
    </row>
    <row r="140" spans="2:4" x14ac:dyDescent="0.35">
      <c r="B140" s="7" t="s">
        <v>332</v>
      </c>
      <c r="C140" t="s">
        <v>329</v>
      </c>
      <c r="D140" t="s">
        <v>346</v>
      </c>
    </row>
    <row r="141" spans="2:4" x14ac:dyDescent="0.35">
      <c r="B141" s="2" t="s">
        <v>341</v>
      </c>
      <c r="C141" s="6">
        <v>14.960000000000003</v>
      </c>
      <c r="D141" s="6">
        <v>31</v>
      </c>
    </row>
    <row r="142" spans="2:4" x14ac:dyDescent="0.35">
      <c r="B142" s="2" t="s">
        <v>342</v>
      </c>
      <c r="C142" s="6">
        <v>0.59</v>
      </c>
      <c r="D142" s="6">
        <v>4</v>
      </c>
    </row>
    <row r="143" spans="2:4" x14ac:dyDescent="0.35">
      <c r="B143" s="2" t="s">
        <v>343</v>
      </c>
      <c r="C143" s="6">
        <v>6.66</v>
      </c>
      <c r="D143" s="6">
        <v>22</v>
      </c>
    </row>
    <row r="144" spans="2:4" x14ac:dyDescent="0.35">
      <c r="B144" s="2" t="s">
        <v>333</v>
      </c>
      <c r="C144" s="6">
        <v>22.210000000000004</v>
      </c>
      <c r="D144" s="6">
        <v>57</v>
      </c>
    </row>
    <row r="148" spans="2:3" x14ac:dyDescent="0.35">
      <c r="B148" s="7" t="s">
        <v>332</v>
      </c>
      <c r="C148" t="s">
        <v>346</v>
      </c>
    </row>
    <row r="149" spans="2:3" x14ac:dyDescent="0.35">
      <c r="B149" s="2" t="s">
        <v>341</v>
      </c>
      <c r="C149" s="6">
        <v>31</v>
      </c>
    </row>
    <row r="150" spans="2:3" x14ac:dyDescent="0.35">
      <c r="B150" s="2" t="s">
        <v>342</v>
      </c>
      <c r="C150" s="6">
        <v>4</v>
      </c>
    </row>
    <row r="151" spans="2:3" x14ac:dyDescent="0.35">
      <c r="B151" s="2" t="s">
        <v>343</v>
      </c>
      <c r="C151" s="6">
        <v>22</v>
      </c>
    </row>
    <row r="152" spans="2:3" x14ac:dyDescent="0.35">
      <c r="B152" s="2" t="s">
        <v>333</v>
      </c>
      <c r="C152" s="6">
        <v>57</v>
      </c>
    </row>
    <row r="157" spans="2:3" x14ac:dyDescent="0.35">
      <c r="B157" s="7" t="s">
        <v>332</v>
      </c>
      <c r="C157" t="s">
        <v>347</v>
      </c>
    </row>
    <row r="158" spans="2:3" x14ac:dyDescent="0.35">
      <c r="B158" s="2" t="s">
        <v>338</v>
      </c>
      <c r="C158" s="6">
        <v>22</v>
      </c>
    </row>
    <row r="159" spans="2:3" x14ac:dyDescent="0.35">
      <c r="B159" s="2" t="s">
        <v>339</v>
      </c>
      <c r="C159" s="6">
        <v>23</v>
      </c>
    </row>
    <row r="160" spans="2:3" x14ac:dyDescent="0.35">
      <c r="B160" s="2" t="s">
        <v>340</v>
      </c>
      <c r="C160" s="6">
        <v>12</v>
      </c>
    </row>
    <row r="163" spans="2:3" x14ac:dyDescent="0.35">
      <c r="B163" s="7" t="s">
        <v>332</v>
      </c>
      <c r="C163" t="s">
        <v>347</v>
      </c>
    </row>
    <row r="164" spans="2:3" x14ac:dyDescent="0.35">
      <c r="B164" s="2" t="s">
        <v>341</v>
      </c>
      <c r="C164" s="6">
        <v>31</v>
      </c>
    </row>
    <row r="165" spans="2:3" x14ac:dyDescent="0.35">
      <c r="B165" s="2" t="s">
        <v>342</v>
      </c>
      <c r="C165" s="6">
        <v>4</v>
      </c>
    </row>
    <row r="166" spans="2:3" x14ac:dyDescent="0.35">
      <c r="B166" s="2" t="s">
        <v>343</v>
      </c>
      <c r="C166" s="6">
        <v>22</v>
      </c>
    </row>
    <row r="168" spans="2:3" x14ac:dyDescent="0.35">
      <c r="B168" s="7" t="s">
        <v>332</v>
      </c>
      <c r="C168" t="s">
        <v>346</v>
      </c>
    </row>
    <row r="169" spans="2:3" x14ac:dyDescent="0.35">
      <c r="B169" s="2" t="s">
        <v>341</v>
      </c>
      <c r="C169" s="6">
        <v>31</v>
      </c>
    </row>
    <row r="170" spans="2:3" x14ac:dyDescent="0.35">
      <c r="B170" s="2" t="s">
        <v>343</v>
      </c>
      <c r="C170" s="6">
        <v>22</v>
      </c>
    </row>
    <row r="171" spans="2:3" x14ac:dyDescent="0.35">
      <c r="B171" s="2" t="s">
        <v>342</v>
      </c>
      <c r="C171" s="6">
        <v>4</v>
      </c>
    </row>
    <row r="174" spans="2:3" x14ac:dyDescent="0.35">
      <c r="B174" s="7" t="s">
        <v>332</v>
      </c>
      <c r="C174" t="s">
        <v>335</v>
      </c>
    </row>
    <row r="175" spans="2:3" x14ac:dyDescent="0.35">
      <c r="B175" s="2" t="s">
        <v>55</v>
      </c>
      <c r="C175" s="6">
        <v>5</v>
      </c>
    </row>
    <row r="176" spans="2:3" x14ac:dyDescent="0.35">
      <c r="B176" s="2" t="s">
        <v>244</v>
      </c>
      <c r="C176" s="6">
        <v>5</v>
      </c>
    </row>
    <row r="177" spans="2:3" x14ac:dyDescent="0.35">
      <c r="B177" s="2" t="s">
        <v>119</v>
      </c>
      <c r="C177" s="6">
        <v>5</v>
      </c>
    </row>
    <row r="178" spans="2:3" x14ac:dyDescent="0.35">
      <c r="B178" s="2" t="s">
        <v>116</v>
      </c>
      <c r="C178" s="6">
        <v>5</v>
      </c>
    </row>
    <row r="179" spans="2:3" x14ac:dyDescent="0.35">
      <c r="B179" s="2" t="s">
        <v>294</v>
      </c>
      <c r="C179" s="6">
        <v>5</v>
      </c>
    </row>
    <row r="180" spans="2:3" x14ac:dyDescent="0.35">
      <c r="B180" s="2" t="s">
        <v>62</v>
      </c>
      <c r="C180" s="6">
        <v>5</v>
      </c>
    </row>
    <row r="181" spans="2:3" x14ac:dyDescent="0.35">
      <c r="B181" s="2" t="s">
        <v>59</v>
      </c>
      <c r="C181" s="6">
        <v>5</v>
      </c>
    </row>
    <row r="182" spans="2:3" x14ac:dyDescent="0.35">
      <c r="B182" s="2" t="s">
        <v>333</v>
      </c>
      <c r="C182" s="6">
        <v>35</v>
      </c>
    </row>
    <row r="184" spans="2:3" x14ac:dyDescent="0.35">
      <c r="B184" s="7" t="s">
        <v>332</v>
      </c>
      <c r="C184" t="s">
        <v>335</v>
      </c>
    </row>
    <row r="185" spans="2:3" x14ac:dyDescent="0.35">
      <c r="B185" s="2" t="s">
        <v>317</v>
      </c>
      <c r="C185" s="6">
        <v>2</v>
      </c>
    </row>
    <row r="186" spans="2:3" x14ac:dyDescent="0.35">
      <c r="B186" s="2" t="s">
        <v>189</v>
      </c>
      <c r="C186" s="6">
        <v>2.1</v>
      </c>
    </row>
    <row r="187" spans="2:3" x14ac:dyDescent="0.35">
      <c r="B187" s="2" t="s">
        <v>228</v>
      </c>
      <c r="C187" s="6">
        <v>2.1</v>
      </c>
    </row>
    <row r="188" spans="2:3" x14ac:dyDescent="0.35">
      <c r="B188" s="2" t="s">
        <v>205</v>
      </c>
      <c r="C188" s="6">
        <v>2.2000000000000002</v>
      </c>
    </row>
    <row r="189" spans="2:3" x14ac:dyDescent="0.35">
      <c r="B189" s="2" t="s">
        <v>226</v>
      </c>
      <c r="C189" s="6">
        <v>2.2000000000000002</v>
      </c>
    </row>
    <row r="190" spans="2:3" x14ac:dyDescent="0.35">
      <c r="B190" s="2" t="s">
        <v>333</v>
      </c>
      <c r="C190" s="6">
        <v>10.600000000000001</v>
      </c>
    </row>
  </sheetData>
  <pageMargins left="0.7" right="0.7" top="0.75" bottom="0.75" header="0.3" footer="0.3"/>
  <drawing r:id="rId20"/>
  <extLst>
    <ext xmlns:x14="http://schemas.microsoft.com/office/spreadsheetml/2009/9/main" uri="{A8765BA9-456A-4dab-B4F3-ACF838C121DE}">
      <x14:slicerList>
        <x14:slicer r:id="rId2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95938-1917-405B-BFD5-2BA24C794317}">
  <sheetPr>
    <tabColor rgb="FFFFC000"/>
  </sheetPr>
  <dimension ref="A1:U39"/>
  <sheetViews>
    <sheetView showGridLines="0" topLeftCell="A4" zoomScale="60" zoomScaleNormal="60" workbookViewId="0">
      <selection activeCell="U11" sqref="U11"/>
    </sheetView>
  </sheetViews>
  <sheetFormatPr defaultColWidth="0" defaultRowHeight="14.5" zeroHeight="1" x14ac:dyDescent="0.35"/>
  <cols>
    <col min="1" max="21" width="8.7265625" customWidth="1"/>
    <col min="22" max="16384" width="8.7265625"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2BF76-AB76-4559-8775-348E9CA26E35}">
  <sheetPr>
    <tabColor rgb="FF002060"/>
  </sheetPr>
  <dimension ref="A1:U42"/>
  <sheetViews>
    <sheetView showGridLines="0" tabSelected="1" topLeftCell="A2" zoomScale="50" zoomScaleNormal="50" workbookViewId="0">
      <selection activeCell="N40" sqref="N40"/>
    </sheetView>
  </sheetViews>
  <sheetFormatPr defaultColWidth="0" defaultRowHeight="14.5" x14ac:dyDescent="0.35"/>
  <cols>
    <col min="1" max="21" width="8.7265625" customWidth="1"/>
    <col min="22" max="16384" width="8.7265625" hidden="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sheetData>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23E19-B518-45B8-937B-A83F122084F8}">
  <sheetPr>
    <tabColor rgb="FF92D050"/>
  </sheetPr>
  <dimension ref="A2:J8"/>
  <sheetViews>
    <sheetView showGridLines="0" zoomScale="80" zoomScaleNormal="80" workbookViewId="0">
      <selection activeCell="B28" sqref="B28"/>
    </sheetView>
  </sheetViews>
  <sheetFormatPr defaultColWidth="0" defaultRowHeight="14.5" x14ac:dyDescent="0.35"/>
  <cols>
    <col min="1" max="1" width="8.7265625" customWidth="1"/>
    <col min="2" max="2" width="64" bestFit="1" customWidth="1"/>
    <col min="3" max="3" width="19" bestFit="1" customWidth="1"/>
    <col min="4" max="4" width="15.08984375" bestFit="1" customWidth="1"/>
    <col min="5" max="5" width="27.453125" bestFit="1" customWidth="1"/>
    <col min="6" max="6" width="12.6328125" bestFit="1" customWidth="1"/>
    <col min="7" max="7" width="18.26953125" hidden="1" customWidth="1"/>
    <col min="8" max="8" width="14.36328125" hidden="1" customWidth="1"/>
    <col min="9" max="9" width="23.08984375" hidden="1" customWidth="1"/>
    <col min="10" max="10" width="19.1796875" hidden="1" customWidth="1"/>
    <col min="11" max="16384" width="8.7265625" hidden="1"/>
  </cols>
  <sheetData>
    <row r="2" spans="2:5" x14ac:dyDescent="0.35">
      <c r="B2" s="7" t="s">
        <v>326</v>
      </c>
      <c r="C2" t="s">
        <v>342</v>
      </c>
    </row>
    <row r="4" spans="2:5" x14ac:dyDescent="0.35">
      <c r="B4" s="7" t="s">
        <v>332</v>
      </c>
      <c r="C4" t="s">
        <v>337</v>
      </c>
      <c r="D4" t="s">
        <v>349</v>
      </c>
      <c r="E4" t="s">
        <v>344</v>
      </c>
    </row>
    <row r="5" spans="2:5" x14ac:dyDescent="0.35">
      <c r="B5" s="11" t="s">
        <v>25</v>
      </c>
      <c r="C5" s="6">
        <v>2999</v>
      </c>
      <c r="D5" s="6">
        <v>3290</v>
      </c>
      <c r="E5" s="6">
        <v>291</v>
      </c>
    </row>
    <row r="6" spans="2:5" x14ac:dyDescent="0.35">
      <c r="B6" s="11" t="s">
        <v>181</v>
      </c>
      <c r="C6" s="6">
        <v>2170</v>
      </c>
      <c r="D6" s="6">
        <v>2500</v>
      </c>
      <c r="E6" s="6">
        <v>330</v>
      </c>
    </row>
    <row r="7" spans="2:5" x14ac:dyDescent="0.35">
      <c r="B7" s="11" t="s">
        <v>65</v>
      </c>
      <c r="C7" s="6">
        <v>2999</v>
      </c>
      <c r="D7" s="6">
        <v>3699</v>
      </c>
      <c r="E7" s="6">
        <v>700</v>
      </c>
    </row>
    <row r="8" spans="2:5" x14ac:dyDescent="0.35">
      <c r="B8" s="11" t="s">
        <v>91</v>
      </c>
      <c r="C8" s="6">
        <v>2880</v>
      </c>
      <c r="D8" s="6">
        <v>3520</v>
      </c>
      <c r="E8" s="6">
        <v>640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6FB36-40D2-42A3-AD1B-6CF0D169301A}">
  <sheetPr>
    <tabColor rgb="FF92D050"/>
  </sheetPr>
  <dimension ref="A8:BQ22"/>
  <sheetViews>
    <sheetView zoomScale="70" zoomScaleNormal="70" workbookViewId="0">
      <selection activeCell="F22" sqref="F22"/>
    </sheetView>
  </sheetViews>
  <sheetFormatPr defaultColWidth="0" defaultRowHeight="14.5" x14ac:dyDescent="0.35"/>
  <cols>
    <col min="1" max="1" width="8.7265625" customWidth="1"/>
    <col min="2" max="2" width="59.1796875" bestFit="1" customWidth="1"/>
    <col min="3" max="3" width="18.26953125" bestFit="1" customWidth="1"/>
    <col min="4" max="4" width="26.36328125" bestFit="1" customWidth="1"/>
    <col min="5" max="5" width="14.36328125" bestFit="1" customWidth="1"/>
    <col min="6" max="6" width="19.1796875" bestFit="1" customWidth="1"/>
    <col min="7" max="7" width="19.1796875" hidden="1" customWidth="1"/>
    <col min="8" max="9" width="31.1796875" hidden="1" customWidth="1"/>
    <col min="10" max="11" width="21.36328125" hidden="1" customWidth="1"/>
    <col min="12" max="12" width="17.26953125" hidden="1" customWidth="1"/>
    <col min="13" max="13" width="17.90625" hidden="1" customWidth="1"/>
    <col min="14" max="14" width="17.26953125" hidden="1" customWidth="1"/>
    <col min="15" max="24" width="4.90625" hidden="1" customWidth="1"/>
    <col min="25" max="25" width="12.54296875" hidden="1" customWidth="1"/>
    <col min="26" max="26" width="11" hidden="1" customWidth="1"/>
    <col min="27" max="27" width="9.81640625" hidden="1" customWidth="1"/>
    <col min="28" max="28" width="6.6328125" hidden="1" customWidth="1"/>
    <col min="29" max="29" width="4.90625" hidden="1" customWidth="1"/>
    <col min="30" max="30" width="9.81640625" hidden="1" customWidth="1"/>
    <col min="31" max="31" width="6.6328125" hidden="1" customWidth="1"/>
    <col min="32" max="32" width="9.81640625" hidden="1" customWidth="1"/>
    <col min="33" max="33" width="6.6328125" hidden="1" customWidth="1"/>
    <col min="34" max="34" width="9.81640625" hidden="1" customWidth="1"/>
    <col min="35" max="35" width="6.6328125" hidden="1" customWidth="1"/>
    <col min="36" max="36" width="9.81640625" hidden="1" customWidth="1"/>
    <col min="37" max="37" width="6.6328125" hidden="1" customWidth="1"/>
    <col min="38" max="38" width="9.81640625" hidden="1" customWidth="1"/>
    <col min="39" max="39" width="6.6328125" hidden="1" customWidth="1"/>
    <col min="40" max="40" width="9.81640625" hidden="1" customWidth="1"/>
    <col min="41" max="41" width="6.6328125" hidden="1" customWidth="1"/>
    <col min="42" max="42" width="9.81640625" hidden="1" customWidth="1"/>
    <col min="43" max="43" width="6.6328125" hidden="1" customWidth="1"/>
    <col min="44" max="44" width="9.81640625" hidden="1" customWidth="1"/>
    <col min="45" max="45" width="12.54296875" hidden="1" customWidth="1"/>
    <col min="46" max="46" width="11" hidden="1" customWidth="1"/>
    <col min="47" max="47" width="6.6328125" hidden="1" customWidth="1"/>
    <col min="48" max="48" width="9.81640625" hidden="1" customWidth="1"/>
    <col min="49" max="49" width="8.81640625" hidden="1" customWidth="1"/>
    <col min="50" max="50" width="6.6328125" hidden="1" customWidth="1"/>
    <col min="51" max="51" width="9.81640625" hidden="1" customWidth="1"/>
    <col min="52" max="52" width="8.81640625" hidden="1" customWidth="1"/>
    <col min="53" max="53" width="6.6328125" hidden="1" customWidth="1"/>
    <col min="54" max="55" width="9.81640625" hidden="1" customWidth="1"/>
    <col min="56" max="56" width="6.6328125" hidden="1" customWidth="1"/>
    <col min="57" max="58" width="9.81640625" hidden="1" customWidth="1"/>
    <col min="59" max="59" width="6.6328125" hidden="1" customWidth="1"/>
    <col min="60" max="61" width="9.81640625" hidden="1" customWidth="1"/>
    <col min="62" max="62" width="6.6328125" hidden="1" customWidth="1"/>
    <col min="63" max="64" width="9.81640625" hidden="1" customWidth="1"/>
    <col min="65" max="65" width="6.6328125" hidden="1" customWidth="1"/>
    <col min="66" max="67" width="9.81640625" hidden="1" customWidth="1"/>
    <col min="68" max="68" width="12.54296875" hidden="1" customWidth="1"/>
    <col min="69" max="69" width="11" hidden="1" customWidth="1"/>
    <col min="70" max="16384" width="8.7265625" hidden="1"/>
  </cols>
  <sheetData>
    <row r="8" spans="2:5" x14ac:dyDescent="0.35">
      <c r="C8" s="7" t="s">
        <v>348</v>
      </c>
    </row>
    <row r="9" spans="2:5" x14ac:dyDescent="0.35">
      <c r="C9" t="s">
        <v>340</v>
      </c>
    </row>
    <row r="10" spans="2:5" x14ac:dyDescent="0.35">
      <c r="B10" s="7" t="s">
        <v>332</v>
      </c>
      <c r="C10" t="s">
        <v>337</v>
      </c>
      <c r="D10" t="s">
        <v>344</v>
      </c>
      <c r="E10" t="s">
        <v>349</v>
      </c>
    </row>
    <row r="11" spans="2:5" x14ac:dyDescent="0.35">
      <c r="B11" s="11" t="s">
        <v>193</v>
      </c>
      <c r="C11" s="6">
        <v>445</v>
      </c>
      <c r="D11" s="6">
        <v>428</v>
      </c>
      <c r="E11" s="6">
        <v>873</v>
      </c>
    </row>
    <row r="12" spans="2:5" x14ac:dyDescent="0.35">
      <c r="B12" s="11" t="s">
        <v>208</v>
      </c>
      <c r="C12" s="6">
        <v>1000</v>
      </c>
      <c r="D12" s="6">
        <v>1000</v>
      </c>
      <c r="E12" s="6">
        <v>2000</v>
      </c>
    </row>
    <row r="13" spans="2:5" x14ac:dyDescent="0.35">
      <c r="B13" s="11" t="s">
        <v>181</v>
      </c>
      <c r="C13" s="6">
        <v>2170</v>
      </c>
      <c r="D13" s="6">
        <v>330</v>
      </c>
      <c r="E13" s="6">
        <v>2500</v>
      </c>
    </row>
    <row r="14" spans="2:5" x14ac:dyDescent="0.35">
      <c r="B14" s="11" t="s">
        <v>189</v>
      </c>
      <c r="C14" s="6">
        <v>2115</v>
      </c>
      <c r="D14" s="6">
        <v>2585</v>
      </c>
      <c r="E14" s="6">
        <v>4700</v>
      </c>
    </row>
    <row r="15" spans="2:5" x14ac:dyDescent="0.35">
      <c r="B15" s="11" t="s">
        <v>226</v>
      </c>
      <c r="C15" s="6">
        <v>968</v>
      </c>
      <c r="D15" s="6">
        <v>846</v>
      </c>
      <c r="E15" s="6">
        <v>1814</v>
      </c>
    </row>
    <row r="16" spans="2:5" x14ac:dyDescent="0.35">
      <c r="B16" s="11" t="s">
        <v>214</v>
      </c>
      <c r="C16" s="6">
        <v>382</v>
      </c>
      <c r="D16" s="6">
        <v>318</v>
      </c>
      <c r="E16" s="6">
        <v>700</v>
      </c>
    </row>
    <row r="17" spans="2:5" x14ac:dyDescent="0.35">
      <c r="B17" s="11" t="s">
        <v>205</v>
      </c>
      <c r="C17" s="6">
        <v>990</v>
      </c>
      <c r="D17" s="6">
        <v>824</v>
      </c>
      <c r="E17" s="6">
        <v>1814</v>
      </c>
    </row>
    <row r="18" spans="2:5" ht="29" x14ac:dyDescent="0.35">
      <c r="B18" s="11" t="s">
        <v>228</v>
      </c>
      <c r="C18" s="6">
        <v>1570</v>
      </c>
      <c r="D18" s="6">
        <v>1418</v>
      </c>
      <c r="E18" s="6">
        <v>2988</v>
      </c>
    </row>
    <row r="19" spans="2:5" x14ac:dyDescent="0.35">
      <c r="B19" s="11" t="s">
        <v>197</v>
      </c>
      <c r="C19" s="6">
        <v>325</v>
      </c>
      <c r="D19" s="6">
        <v>355</v>
      </c>
      <c r="E19" s="6">
        <v>680</v>
      </c>
    </row>
    <row r="20" spans="2:5" ht="29" x14ac:dyDescent="0.35">
      <c r="B20" s="11" t="s">
        <v>201</v>
      </c>
      <c r="C20" s="6">
        <v>1220</v>
      </c>
      <c r="D20" s="6">
        <v>335</v>
      </c>
      <c r="E20" s="6">
        <v>1555</v>
      </c>
    </row>
    <row r="21" spans="2:5" x14ac:dyDescent="0.35">
      <c r="B21" s="11" t="s">
        <v>317</v>
      </c>
      <c r="C21" s="6">
        <v>450</v>
      </c>
      <c r="D21" s="6">
        <v>450</v>
      </c>
      <c r="E21" s="6">
        <v>900</v>
      </c>
    </row>
    <row r="22" spans="2:5" x14ac:dyDescent="0.35">
      <c r="B22" s="11" t="s">
        <v>220</v>
      </c>
      <c r="C22" s="6">
        <v>345</v>
      </c>
      <c r="D22" s="6">
        <v>257</v>
      </c>
      <c r="E22" s="6">
        <v>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Excel_jumia</vt:lpstr>
      <vt:lpstr>Data Excel_jumia</vt:lpstr>
      <vt:lpstr>Pivot Table</vt:lpstr>
      <vt:lpstr>Dashboard 1</vt:lpstr>
      <vt:lpstr>Dasboard 2</vt:lpstr>
      <vt:lpstr>Product Breakdown Disc Category</vt:lpstr>
      <vt:lpstr>Product Breakdown Rate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Igana</dc:creator>
  <cp:lastModifiedBy>Brian Igana</cp:lastModifiedBy>
  <dcterms:created xsi:type="dcterms:W3CDTF">2026-03-22T16:18:40Z</dcterms:created>
  <dcterms:modified xsi:type="dcterms:W3CDTF">2026-03-30T00:57:20Z</dcterms:modified>
</cp:coreProperties>
</file>